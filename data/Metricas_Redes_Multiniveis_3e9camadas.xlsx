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enhur.correia/Documents/DOUTORADO - UFRJ COPPEAD/DISCIPLINAS/IA APLICADA A PESQUISA ACADÊMICA/ARTIGO 2/MBR - EMERALD/dados/"/>
    </mc:Choice>
  </mc:AlternateContent>
  <xr:revisionPtr revIDLastSave="0" documentId="13_ncr:1_{C186E581-911E-204F-8DEE-F8A7CD28E846}" xr6:coauthVersionLast="47" xr6:coauthVersionMax="47" xr10:uidLastSave="{00000000-0000-0000-0000-000000000000}"/>
  <bookViews>
    <workbookView xWindow="0" yWindow="660" windowWidth="34560" windowHeight="20360" tabRatio="500" xr2:uid="{00000000-000D-0000-FFFF-FFFF00000000}"/>
  </bookViews>
  <sheets>
    <sheet name="Leia-me" sheetId="1" r:id="rId1"/>
    <sheet name="Visão Geral (3 cam)" sheetId="2" r:id="rId2"/>
    <sheet name="Versatilidade (3 cam)" sheetId="3" r:id="rId3"/>
    <sheet name="Centralidade (3 cam)" sheetId="4" r:id="rId4"/>
    <sheet name="Densidade (3 cam)" sheetId="5" r:id="rId5"/>
    <sheet name="Graus Brutos (3 cam)" sheetId="6" r:id="rId6"/>
    <sheet name="Visão Geral (9 cam)" sheetId="7" r:id="rId7"/>
    <sheet name="Versatilidade (9 cam)" sheetId="8" r:id="rId8"/>
    <sheet name="Centralidade (9 cam)" sheetId="9" r:id="rId9"/>
    <sheet name="Densidade (9 cam)" sheetId="10" r:id="rId10"/>
    <sheet name="Graus Brutos (9 cam)" sheetId="11" r:id="rId11"/>
    <sheet name="Participação (9 cam)" sheetId="12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6" i="12" l="1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G12" i="10"/>
  <c r="H12" i="10" s="1"/>
  <c r="D12" i="10"/>
  <c r="G11" i="10"/>
  <c r="H11" i="10" s="1"/>
  <c r="D11" i="10"/>
  <c r="G10" i="10"/>
  <c r="H10" i="10" s="1"/>
  <c r="D10" i="10"/>
  <c r="G9" i="10"/>
  <c r="H9" i="10" s="1"/>
  <c r="D9" i="10"/>
  <c r="G8" i="10"/>
  <c r="H8" i="10" s="1"/>
  <c r="D8" i="10"/>
  <c r="G7" i="10"/>
  <c r="H7" i="10" s="1"/>
  <c r="D7" i="10"/>
  <c r="G6" i="10"/>
  <c r="H6" i="10" s="1"/>
  <c r="D6" i="10"/>
  <c r="H5" i="10"/>
  <c r="G5" i="10"/>
  <c r="D5" i="10"/>
  <c r="G4" i="10"/>
  <c r="H4" i="10" s="1"/>
  <c r="D4" i="10"/>
  <c r="G3" i="10"/>
  <c r="H3" i="10" s="1"/>
  <c r="D3" i="10"/>
  <c r="V23" i="9"/>
  <c r="V22" i="9"/>
  <c r="V21" i="9"/>
  <c r="V19" i="9"/>
  <c r="V18" i="9"/>
  <c r="V17" i="9"/>
  <c r="V16" i="9"/>
  <c r="V15" i="9"/>
  <c r="V14" i="9"/>
  <c r="V13" i="9"/>
  <c r="V12" i="9"/>
  <c r="V11" i="9"/>
  <c r="V10" i="9"/>
  <c r="V9" i="9"/>
  <c r="V8" i="9"/>
  <c r="V7" i="9"/>
  <c r="V6" i="9"/>
  <c r="V5" i="9"/>
  <c r="V4" i="9"/>
  <c r="V23" i="8"/>
  <c r="V22" i="8"/>
  <c r="V21" i="8"/>
  <c r="V19" i="8"/>
  <c r="V18" i="8"/>
  <c r="V17" i="8"/>
  <c r="V16" i="8"/>
  <c r="V15" i="8"/>
  <c r="V14" i="8"/>
  <c r="V13" i="8"/>
  <c r="V12" i="8"/>
  <c r="V11" i="8"/>
  <c r="V10" i="8"/>
  <c r="V9" i="8"/>
  <c r="V8" i="8"/>
  <c r="V7" i="8"/>
  <c r="V6" i="8"/>
  <c r="V5" i="8"/>
  <c r="V4" i="8"/>
  <c r="D42" i="7"/>
  <c r="D41" i="7"/>
  <c r="D40" i="7"/>
  <c r="D39" i="7"/>
  <c r="D38" i="7"/>
  <c r="D37" i="7"/>
  <c r="D36" i="7"/>
  <c r="D35" i="7"/>
  <c r="D34" i="7"/>
  <c r="D33" i="7"/>
  <c r="D32" i="7"/>
  <c r="D31" i="7"/>
  <c r="D29" i="7"/>
  <c r="D28" i="7"/>
  <c r="D27" i="7"/>
  <c r="D26" i="7"/>
  <c r="D25" i="7"/>
  <c r="D24" i="7"/>
  <c r="D23" i="7"/>
  <c r="D22" i="7"/>
  <c r="D21" i="7"/>
  <c r="D19" i="7"/>
  <c r="D18" i="7"/>
  <c r="D17" i="7"/>
  <c r="D16" i="7"/>
  <c r="D15" i="7"/>
  <c r="D14" i="7"/>
  <c r="D13" i="7"/>
  <c r="D12" i="7"/>
  <c r="D11" i="7"/>
  <c r="D10" i="7"/>
  <c r="D8" i="7"/>
  <c r="D7" i="7"/>
  <c r="D6" i="7"/>
  <c r="D5" i="7"/>
  <c r="D4" i="7"/>
  <c r="G6" i="5"/>
  <c r="H6" i="5" s="1"/>
  <c r="D6" i="5"/>
  <c r="G5" i="5"/>
  <c r="H5" i="5" s="1"/>
  <c r="D5" i="5"/>
  <c r="G4" i="5"/>
  <c r="H4" i="5" s="1"/>
  <c r="D4" i="5"/>
  <c r="G3" i="5"/>
  <c r="H3" i="5" s="1"/>
  <c r="D3" i="5"/>
  <c r="J23" i="4"/>
  <c r="J22" i="4"/>
  <c r="J21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23" i="3"/>
  <c r="J22" i="3"/>
  <c r="J21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D37" i="2"/>
  <c r="D36" i="2"/>
  <c r="D35" i="2"/>
  <c r="D34" i="2"/>
  <c r="D33" i="2"/>
  <c r="D32" i="2"/>
  <c r="D31" i="2"/>
  <c r="D30" i="2"/>
  <c r="D29" i="2"/>
  <c r="D28" i="2"/>
  <c r="D27" i="2"/>
  <c r="D26" i="2"/>
  <c r="D24" i="2"/>
  <c r="D23" i="2"/>
  <c r="D22" i="2"/>
  <c r="D21" i="2"/>
  <c r="D20" i="2"/>
  <c r="D19" i="2"/>
  <c r="D18" i="2"/>
  <c r="D17" i="2"/>
  <c r="D16" i="2"/>
  <c r="D14" i="2"/>
  <c r="D13" i="2"/>
  <c r="D12" i="2"/>
  <c r="D11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<sst xmlns="http://schemas.openxmlformats.org/spreadsheetml/2006/main" count="1621" uniqueCount="132">
  <si>
    <t>Métricas de Redes Multiníveis — Ecossistema de IA na Guerra EUA–Irã</t>
  </si>
  <si>
    <t>Fontes de dados</t>
  </si>
  <si>
    <t>3 camadas (Jacobides)</t>
  </si>
  <si>
    <t>figura1_pre_conflito.mleco e figura2_pos_conflito.mleco</t>
  </si>
  <si>
    <t>9 camadas (tipos de relação)</t>
  </si>
  <si>
    <t>ecossistema_ia_guerra_9camadas.mleco (momentos Pré e Pós)</t>
  </si>
  <si>
    <t>Modelos comparados</t>
  </si>
  <si>
    <t>3 camadas</t>
  </si>
  <si>
    <t>9 camadas</t>
  </si>
  <si>
    <t>Fórmulas</t>
  </si>
  <si>
    <t>Versatilidade Vi</t>
  </si>
  <si>
    <t>Vi = (1/M) · Σα [ k_i^α / (Nα − 1) ]</t>
  </si>
  <si>
    <t>Centralidade CD (total)</t>
  </si>
  <si>
    <t>CD_total = Σα k_i^α / Σα (Nα − 1)</t>
  </si>
  <si>
    <t>Densidade por camada Dα</t>
  </si>
  <si>
    <t>Dα = Eα / [ Nα (Nα − 1) / 2 ]</t>
  </si>
  <si>
    <t>Participação Pi (Battiston)</t>
  </si>
  <si>
    <t>Pi = (M/(M−1)) · [ 1 − Σα (k_i^α / o_i)² ]</t>
  </si>
  <si>
    <t>Grau de sobreposição o_i</t>
  </si>
  <si>
    <t>o_i = Σα k_i^α</t>
  </si>
  <si>
    <t>Notas</t>
  </si>
  <si>
    <t>Conversão p/ 9 camadas</t>
  </si>
  <si>
    <t>auto-acoplamentos verticais (ator-&gt;ele mesmo) descartados; duplicatas unificadas. Por isso o total de relações cai (52-&gt;45 pré, 56-&gt;49 pós).</t>
  </si>
  <si>
    <t>Decimais</t>
  </si>
  <si>
    <t>valores com 3 casas; ênfase em direção e ordem de grandeza.</t>
  </si>
  <si>
    <t>Geração</t>
  </si>
  <si>
    <t>build_metricas_xlsx.py (Correia, 2026) — metodologia metrics_core/GraphEngine.</t>
  </si>
  <si>
    <t>Visão Geral — Visão Geral (3 cam)</t>
  </si>
  <si>
    <t>Métrica</t>
  </si>
  <si>
    <t>Pré-conflito</t>
  </si>
  <si>
    <t>Pós-conflito</t>
  </si>
  <si>
    <t>Δ</t>
  </si>
  <si>
    <t>ESTRUTURA GERAL</t>
  </si>
  <si>
    <t>Atores</t>
  </si>
  <si>
    <t>Relações totais</t>
  </si>
  <si>
    <t>Atores multi-camada</t>
  </si>
  <si>
    <t>Relações intra-camada</t>
  </si>
  <si>
    <t>Relações inter-camada</t>
  </si>
  <si>
    <t>Relações descartadas (extremo fora da camada)</t>
  </si>
  <si>
    <t>DENSIDADE POR CAMADA (Dα)</t>
  </si>
  <si>
    <t>Camada de Modelos (N pré=5, pós=5)</t>
  </si>
  <si>
    <t>Camada de Deployments (N pré=10, pós=14)</t>
  </si>
  <si>
    <t>Camada de Sistemas (N pré=11, pós=11)</t>
  </si>
  <si>
    <t>Rede geral (intra-camada)</t>
  </si>
  <si>
    <t>COMPOSIÇÃO DAS RELAÇÕES (por tipo)</t>
  </si>
  <si>
    <t>Competição</t>
  </si>
  <si>
    <t>Conflito</t>
  </si>
  <si>
    <t>Cooperação</t>
  </si>
  <si>
    <t>Dependência</t>
  </si>
  <si>
    <t>Extração</t>
  </si>
  <si>
    <t>Fornecimento</t>
  </si>
  <si>
    <t>Integração</t>
  </si>
  <si>
    <t>Investimento</t>
  </si>
  <si>
    <t>Regulação</t>
  </si>
  <si>
    <t>GRAU AGREGADO (centralidade bruta) — top 12 (pós)</t>
  </si>
  <si>
    <t>Pentágono / DoD</t>
  </si>
  <si>
    <t>OpenAI</t>
  </si>
  <si>
    <t>Palantir</t>
  </si>
  <si>
    <t>Anthropic</t>
  </si>
  <si>
    <t>Nvidia</t>
  </si>
  <si>
    <t>AWS Gov</t>
  </si>
  <si>
    <t>Google DeepMind</t>
  </si>
  <si>
    <t>xAI</t>
  </si>
  <si>
    <t>Irã / IRGC</t>
  </si>
  <si>
    <t>Meta AI</t>
  </si>
  <si>
    <t>TSMC</t>
  </si>
  <si>
    <t>Anduril</t>
  </si>
  <si>
    <t>Fonte: MultilayerEco/GraphEngine (Correia, 2026).</t>
  </si>
  <si>
    <t>Versatilidade (3 cam)</t>
  </si>
  <si>
    <t>PRÉ-CONFLITO</t>
  </si>
  <si>
    <t>PÓS-CONFLITO</t>
  </si>
  <si>
    <t>Ator</t>
  </si>
  <si>
    <t>Total</t>
  </si>
  <si>
    <t>Modelos</t>
  </si>
  <si>
    <t>Deploy.</t>
  </si>
  <si>
    <t>Sistemas</t>
  </si>
  <si>
    <t>Δ Total</t>
  </si>
  <si>
    <t>—</t>
  </si>
  <si>
    <t>China / Huawei</t>
  </si>
  <si>
    <t>Países do Golfo</t>
  </si>
  <si>
    <t>Google Cloud</t>
  </si>
  <si>
    <t>Governo EUA</t>
  </si>
  <si>
    <t>CISA</t>
  </si>
  <si>
    <t>Israel / IAF</t>
  </si>
  <si>
    <t>Microsoft/Azure</t>
  </si>
  <si>
    <t>CDAO</t>
  </si>
  <si>
    <t>Tribunal Federal</t>
  </si>
  <si>
    <t>Casa Branca</t>
  </si>
  <si>
    <t>NSA</t>
  </si>
  <si>
    <t>Vi = (1/M)·Σα k_i^α/(Nα−1). Valores por camada = k_i^α/(Nα−1).</t>
  </si>
  <si>
    <t>Centralidade (3 cam)</t>
  </si>
  <si>
    <t>CD_total = Σα k_i^α / Σα(Nα−1). Por camada = k_i^α/(Nα−1).</t>
  </si>
  <si>
    <t>Densidade (3 cam)</t>
  </si>
  <si>
    <t>Camada</t>
  </si>
  <si>
    <t>N Pré</t>
  </si>
  <si>
    <t>E Pré</t>
  </si>
  <si>
    <t>Dα Pré</t>
  </si>
  <si>
    <t>N Pós</t>
  </si>
  <si>
    <t>E Pós</t>
  </si>
  <si>
    <t>Dα Pós</t>
  </si>
  <si>
    <t>Δ Dα</t>
  </si>
  <si>
    <t>Camada de Modelos</t>
  </si>
  <si>
    <t>Camada de Deployments</t>
  </si>
  <si>
    <t>Camada de Sistemas</t>
  </si>
  <si>
    <t>Dα = Eα / [Nα (Nα − 1) / 2]</t>
  </si>
  <si>
    <t>Graus Brutos (3 cam)</t>
  </si>
  <si>
    <t>k_i^α = nº de conexões do ator i na camada α.</t>
  </si>
  <si>
    <t>Visão Geral — Visão Geral (9 cam)</t>
  </si>
  <si>
    <t>Fornecimento (N pré=13, pós=11)</t>
  </si>
  <si>
    <t>Investimento (N pré=5, pós=2)</t>
  </si>
  <si>
    <t>Extração (N pré=0, pós=2)</t>
  </si>
  <si>
    <t>Regulação (N pré=5, pós=6)</t>
  </si>
  <si>
    <t>Dependência (N pré=7, pós=10)</t>
  </si>
  <si>
    <t>Conflito (N pré=3, pós=6)</t>
  </si>
  <si>
    <t>Integração (N pré=4, pós=4)</t>
  </si>
  <si>
    <t>Cooperação (N pré=5, pós=8)</t>
  </si>
  <si>
    <t>Competição (N pré=10, pós=8)</t>
  </si>
  <si>
    <t>Versatilidade (9 cam)</t>
  </si>
  <si>
    <t>9 camadas = 9 tipos de relação. Vi = (1/9)·Σα k_i^α/(Nα−1).</t>
  </si>
  <si>
    <t>Centralidade (9 cam)</t>
  </si>
  <si>
    <t>CD_total = Σα k_i^α / Σα(Nα−1).</t>
  </si>
  <si>
    <t>Densidade (9 cam)</t>
  </si>
  <si>
    <t>Graus Brutos (9 cam)</t>
  </si>
  <si>
    <t>k_i^α por tipo de relação.</t>
  </si>
  <si>
    <t>Participação (9 cam)</t>
  </si>
  <si>
    <t>Vi</t>
  </si>
  <si>
    <t>Pi</t>
  </si>
  <si>
    <t>o_i</t>
  </si>
  <si>
    <t>Δ Pi</t>
  </si>
  <si>
    <t>Pi = (M/(M−1))·[1 − Σα(k_i^α/o_i)²];  o_i = Σα k_i^α (grau de sobreposição).  Pi≈0 papel concentrado; Pi≈1 distribuído.</t>
  </si>
  <si>
    <t>Uma camada por tipo de relação (M=9),</t>
  </si>
  <si>
    <t>Modelos, Deployments, Sistemas (M=3).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</si>
</sst>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b/>
      <sz val="10"/>
      <color rgb="FFFFFFFF"/>
      <name val="Arial"/>
      <family val="2"/>
    </font>
    <font>
      <i/>
      <sz val="8"/>
      <color rgb="FF59595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395"/>
        <bgColor rgb="FF1F3864"/>
      </patternFill>
    </fill>
    <fill>
      <patternFill patternType="solid">
        <fgColor rgb="FFD9E1F2"/>
        <bgColor rgb="FFF2F5FB"/>
      </patternFill>
    </fill>
    <fill>
      <patternFill patternType="solid">
        <fgColor rgb="FFF2F5FB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6" fillId="3" borderId="1" xfId="0" applyFont="1" applyFill="1" applyBorder="1" applyAlignment="1">
      <alignment horizontal="center" vertical="center"/>
    </xf>
    <xf numFmtId="0" fontId="5" fillId="4" borderId="0" xfId="0" applyFont="1" applyFill="1"/>
    <xf numFmtId="0" fontId="2" fillId="2" borderId="0" xfId="0" applyFont="1" applyFill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4" fillId="0" borderId="1" xfId="0" applyFont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zoomScaleNormal="100" workbookViewId="0">
      <selection activeCell="B25" sqref="B25:B27"/>
    </sheetView>
  </sheetViews>
  <sheetFormatPr baseColWidth="10" defaultColWidth="8.6640625" defaultRowHeight="15" x14ac:dyDescent="0.2"/>
  <cols>
    <col min="1" max="1" width="30" customWidth="1"/>
    <col min="2" max="2" width="85" customWidth="1"/>
  </cols>
  <sheetData>
    <row r="1" spans="1:2" ht="24" customHeight="1" x14ac:dyDescent="0.2">
      <c r="A1" s="3" t="s">
        <v>0</v>
      </c>
      <c r="B1" s="3"/>
    </row>
    <row r="2" spans="1:2" x14ac:dyDescent="0.2">
      <c r="A2" s="4"/>
      <c r="B2" s="5"/>
    </row>
    <row r="3" spans="1:2" x14ac:dyDescent="0.2">
      <c r="A3" s="6" t="s">
        <v>1</v>
      </c>
      <c r="B3" s="5"/>
    </row>
    <row r="4" spans="1:2" x14ac:dyDescent="0.2">
      <c r="A4" s="4" t="s">
        <v>2</v>
      </c>
      <c r="B4" s="5" t="s">
        <v>3</v>
      </c>
    </row>
    <row r="5" spans="1:2" x14ac:dyDescent="0.2">
      <c r="A5" s="4" t="s">
        <v>4</v>
      </c>
      <c r="B5" s="5" t="s">
        <v>5</v>
      </c>
    </row>
    <row r="6" spans="1:2" x14ac:dyDescent="0.2">
      <c r="A6" s="4"/>
      <c r="B6" s="5"/>
    </row>
    <row r="7" spans="1:2" x14ac:dyDescent="0.2">
      <c r="A7" s="6" t="s">
        <v>6</v>
      </c>
      <c r="B7" s="5"/>
    </row>
    <row r="8" spans="1:2" x14ac:dyDescent="0.2">
      <c r="A8" s="4" t="s">
        <v>7</v>
      </c>
      <c r="B8" s="19" t="s">
        <v>131</v>
      </c>
    </row>
    <row r="9" spans="1:2" x14ac:dyDescent="0.2">
      <c r="A9" s="4" t="s">
        <v>8</v>
      </c>
      <c r="B9" s="19" t="s">
        <v>130</v>
      </c>
    </row>
    <row r="10" spans="1:2" x14ac:dyDescent="0.2">
      <c r="A10" s="4"/>
      <c r="B10" s="5"/>
    </row>
    <row r="11" spans="1:2" x14ac:dyDescent="0.2">
      <c r="A11" s="6" t="s">
        <v>9</v>
      </c>
      <c r="B11" s="5"/>
    </row>
    <row r="12" spans="1:2" x14ac:dyDescent="0.2">
      <c r="A12" s="4" t="s">
        <v>10</v>
      </c>
      <c r="B12" s="5" t="s">
        <v>11</v>
      </c>
    </row>
    <row r="13" spans="1:2" x14ac:dyDescent="0.2">
      <c r="A13" s="4" t="s">
        <v>12</v>
      </c>
      <c r="B13" s="5" t="s">
        <v>13</v>
      </c>
    </row>
    <row r="14" spans="1:2" x14ac:dyDescent="0.2">
      <c r="A14" s="4" t="s">
        <v>14</v>
      </c>
      <c r="B14" s="5" t="s">
        <v>15</v>
      </c>
    </row>
    <row r="15" spans="1:2" x14ac:dyDescent="0.2">
      <c r="A15" s="4" t="s">
        <v>16</v>
      </c>
      <c r="B15" s="5" t="s">
        <v>17</v>
      </c>
    </row>
    <row r="16" spans="1:2" x14ac:dyDescent="0.2">
      <c r="A16" s="4" t="s">
        <v>18</v>
      </c>
      <c r="B16" s="5" t="s">
        <v>19</v>
      </c>
    </row>
    <row r="17" spans="1:2" x14ac:dyDescent="0.2">
      <c r="A17" s="4"/>
      <c r="B17" s="5"/>
    </row>
    <row r="18" spans="1:2" x14ac:dyDescent="0.2">
      <c r="A18" s="6" t="s">
        <v>20</v>
      </c>
      <c r="B18" s="5"/>
    </row>
    <row r="19" spans="1:2" ht="28" x14ac:dyDescent="0.2">
      <c r="A19" s="4" t="s">
        <v>21</v>
      </c>
      <c r="B19" s="5" t="s">
        <v>22</v>
      </c>
    </row>
    <row r="20" spans="1:2" x14ac:dyDescent="0.2">
      <c r="A20" s="4" t="s">
        <v>23</v>
      </c>
      <c r="B20" s="5" t="s">
        <v>24</v>
      </c>
    </row>
    <row r="21" spans="1:2" x14ac:dyDescent="0.2">
      <c r="A21" s="4" t="s">
        <v>25</v>
      </c>
      <c r="B21" s="5" t="s">
        <v>26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zoomScaleNormal="100" workbookViewId="0">
      <pane ySplit="2" topLeftCell="A3" activePane="bottomLeft" state="frozen"/>
      <selection pane="bottomLeft" sqref="A1:D1"/>
    </sheetView>
  </sheetViews>
  <sheetFormatPr baseColWidth="10" defaultColWidth="8.6640625" defaultRowHeight="15" x14ac:dyDescent="0.2"/>
  <cols>
    <col min="1" max="1" width="44" customWidth="1"/>
    <col min="2" max="4" width="14" customWidth="1"/>
  </cols>
  <sheetData>
    <row r="1" spans="1:4" ht="24" customHeight="1" x14ac:dyDescent="0.2">
      <c r="A1" s="3" t="s">
        <v>27</v>
      </c>
      <c r="B1" s="3"/>
      <c r="C1" s="3"/>
      <c r="D1" s="3"/>
    </row>
    <row r="2" spans="1:4" x14ac:dyDescent="0.2">
      <c r="A2" s="7" t="s">
        <v>28</v>
      </c>
      <c r="B2" s="7" t="s">
        <v>29</v>
      </c>
      <c r="C2" s="7" t="s">
        <v>30</v>
      </c>
      <c r="D2" s="7" t="s">
        <v>31</v>
      </c>
    </row>
    <row r="3" spans="1:4" x14ac:dyDescent="0.2">
      <c r="A3" s="2" t="s">
        <v>32</v>
      </c>
      <c r="B3" s="2"/>
      <c r="C3" s="2"/>
      <c r="D3" s="2"/>
    </row>
    <row r="4" spans="1:4" x14ac:dyDescent="0.2">
      <c r="A4" s="8" t="s">
        <v>33</v>
      </c>
      <c r="B4" s="9">
        <v>19</v>
      </c>
      <c r="C4" s="9">
        <v>23</v>
      </c>
      <c r="D4" s="9">
        <f t="shared" ref="D4:D9" si="0">C4-B4</f>
        <v>4</v>
      </c>
    </row>
    <row r="5" spans="1:4" x14ac:dyDescent="0.2">
      <c r="A5" s="8" t="s">
        <v>34</v>
      </c>
      <c r="B5" s="9">
        <v>52</v>
      </c>
      <c r="C5" s="9">
        <v>56</v>
      </c>
      <c r="D5" s="9">
        <f t="shared" si="0"/>
        <v>4</v>
      </c>
    </row>
    <row r="6" spans="1:4" x14ac:dyDescent="0.2">
      <c r="A6" s="8" t="s">
        <v>35</v>
      </c>
      <c r="B6" s="9">
        <v>7</v>
      </c>
      <c r="C6" s="9">
        <v>7</v>
      </c>
      <c r="D6" s="9">
        <f t="shared" si="0"/>
        <v>0</v>
      </c>
    </row>
    <row r="7" spans="1:4" x14ac:dyDescent="0.2">
      <c r="A7" s="8" t="s">
        <v>36</v>
      </c>
      <c r="B7" s="9">
        <v>43</v>
      </c>
      <c r="C7" s="9">
        <v>47</v>
      </c>
      <c r="D7" s="9">
        <f t="shared" si="0"/>
        <v>4</v>
      </c>
    </row>
    <row r="8" spans="1:4" x14ac:dyDescent="0.2">
      <c r="A8" s="8" t="s">
        <v>37</v>
      </c>
      <c r="B8" s="9">
        <v>8</v>
      </c>
      <c r="C8" s="9">
        <v>8</v>
      </c>
      <c r="D8" s="9">
        <f t="shared" si="0"/>
        <v>0</v>
      </c>
    </row>
    <row r="9" spans="1:4" x14ac:dyDescent="0.2">
      <c r="A9" s="8" t="s">
        <v>38</v>
      </c>
      <c r="B9" s="9">
        <v>1</v>
      </c>
      <c r="C9" s="9">
        <v>1</v>
      </c>
      <c r="D9" s="9">
        <f t="shared" si="0"/>
        <v>0</v>
      </c>
    </row>
    <row r="10" spans="1:4" x14ac:dyDescent="0.2">
      <c r="A10" s="2" t="s">
        <v>39</v>
      </c>
      <c r="B10" s="2"/>
      <c r="C10" s="2"/>
      <c r="D10" s="2"/>
    </row>
    <row r="11" spans="1:4" x14ac:dyDescent="0.2">
      <c r="A11" s="8" t="s">
        <v>40</v>
      </c>
      <c r="B11" s="10">
        <v>1</v>
      </c>
      <c r="C11" s="10">
        <v>1</v>
      </c>
      <c r="D11" s="10">
        <f>C11-B11</f>
        <v>0</v>
      </c>
    </row>
    <row r="12" spans="1:4" x14ac:dyDescent="0.2">
      <c r="A12" s="8" t="s">
        <v>41</v>
      </c>
      <c r="B12" s="10">
        <v>0.35560000000000003</v>
      </c>
      <c r="C12" s="10">
        <v>0.20880000000000001</v>
      </c>
      <c r="D12" s="10">
        <f>C12-B12</f>
        <v>-0.14680000000000001</v>
      </c>
    </row>
    <row r="13" spans="1:4" x14ac:dyDescent="0.2">
      <c r="A13" s="8" t="s">
        <v>42</v>
      </c>
      <c r="B13" s="10">
        <v>0.30909999999999999</v>
      </c>
      <c r="C13" s="10">
        <v>0.32729999999999998</v>
      </c>
      <c r="D13" s="10">
        <f>C13-B13</f>
        <v>1.8199999999999994E-2</v>
      </c>
    </row>
    <row r="14" spans="1:4" x14ac:dyDescent="0.2">
      <c r="A14" s="8" t="s">
        <v>43</v>
      </c>
      <c r="B14" s="10">
        <v>0.23980000000000001</v>
      </c>
      <c r="C14" s="10">
        <v>0.18179999999999999</v>
      </c>
      <c r="D14" s="10">
        <f>C14-B14</f>
        <v>-5.8000000000000024E-2</v>
      </c>
    </row>
    <row r="15" spans="1:4" x14ac:dyDescent="0.2">
      <c r="A15" s="2" t="s">
        <v>44</v>
      </c>
      <c r="B15" s="2"/>
      <c r="C15" s="2"/>
      <c r="D15" s="2"/>
    </row>
    <row r="16" spans="1:4" x14ac:dyDescent="0.2">
      <c r="A16" s="8" t="s">
        <v>45</v>
      </c>
      <c r="B16" s="9">
        <v>13</v>
      </c>
      <c r="C16" s="9">
        <v>12</v>
      </c>
      <c r="D16" s="9">
        <f t="shared" ref="D16:D24" si="1">C16-B16</f>
        <v>-1</v>
      </c>
    </row>
    <row r="17" spans="1:4" x14ac:dyDescent="0.2">
      <c r="A17" s="8" t="s">
        <v>46</v>
      </c>
      <c r="B17" s="9">
        <v>2</v>
      </c>
      <c r="C17" s="9">
        <v>5</v>
      </c>
      <c r="D17" s="9">
        <f t="shared" si="1"/>
        <v>3</v>
      </c>
    </row>
    <row r="18" spans="1:4" x14ac:dyDescent="0.2">
      <c r="A18" s="8" t="s">
        <v>47</v>
      </c>
      <c r="B18" s="9">
        <v>4</v>
      </c>
      <c r="C18" s="9">
        <v>7</v>
      </c>
      <c r="D18" s="9">
        <f t="shared" si="1"/>
        <v>3</v>
      </c>
    </row>
    <row r="19" spans="1:4" x14ac:dyDescent="0.2">
      <c r="A19" s="8" t="s">
        <v>48</v>
      </c>
      <c r="B19" s="9">
        <v>6</v>
      </c>
      <c r="C19" s="9">
        <v>9</v>
      </c>
      <c r="D19" s="9">
        <f t="shared" si="1"/>
        <v>3</v>
      </c>
    </row>
    <row r="20" spans="1:4" x14ac:dyDescent="0.2">
      <c r="A20" s="8" t="s">
        <v>49</v>
      </c>
      <c r="B20" s="9">
        <v>0</v>
      </c>
      <c r="C20" s="9">
        <v>1</v>
      </c>
      <c r="D20" s="9">
        <f t="shared" si="1"/>
        <v>1</v>
      </c>
    </row>
    <row r="21" spans="1:4" x14ac:dyDescent="0.2">
      <c r="A21" s="8" t="s">
        <v>50</v>
      </c>
      <c r="B21" s="9">
        <v>12</v>
      </c>
      <c r="C21" s="9">
        <v>10</v>
      </c>
      <c r="D21" s="9">
        <f t="shared" si="1"/>
        <v>-2</v>
      </c>
    </row>
    <row r="22" spans="1:4" x14ac:dyDescent="0.2">
      <c r="A22" s="8" t="s">
        <v>51</v>
      </c>
      <c r="B22" s="9">
        <v>9</v>
      </c>
      <c r="C22" s="9">
        <v>7</v>
      </c>
      <c r="D22" s="9">
        <f t="shared" si="1"/>
        <v>-2</v>
      </c>
    </row>
    <row r="23" spans="1:4" x14ac:dyDescent="0.2">
      <c r="A23" s="8" t="s">
        <v>52</v>
      </c>
      <c r="B23" s="9">
        <v>3</v>
      </c>
      <c r="C23" s="9">
        <v>1</v>
      </c>
      <c r="D23" s="9">
        <f t="shared" si="1"/>
        <v>-2</v>
      </c>
    </row>
    <row r="24" spans="1:4" x14ac:dyDescent="0.2">
      <c r="A24" s="8" t="s">
        <v>53</v>
      </c>
      <c r="B24" s="9">
        <v>3</v>
      </c>
      <c r="C24" s="9">
        <v>4</v>
      </c>
      <c r="D24" s="9">
        <f t="shared" si="1"/>
        <v>1</v>
      </c>
    </row>
    <row r="25" spans="1:4" x14ac:dyDescent="0.2">
      <c r="A25" s="2" t="s">
        <v>54</v>
      </c>
      <c r="B25" s="2"/>
      <c r="C25" s="2"/>
      <c r="D25" s="2"/>
    </row>
    <row r="26" spans="1:4" x14ac:dyDescent="0.2">
      <c r="A26" s="8" t="s">
        <v>55</v>
      </c>
      <c r="B26" s="9">
        <v>8</v>
      </c>
      <c r="C26" s="9">
        <v>12</v>
      </c>
      <c r="D26" s="9">
        <f t="shared" ref="D26:D37" si="2">C26-B26</f>
        <v>4</v>
      </c>
    </row>
    <row r="27" spans="1:4" x14ac:dyDescent="0.2">
      <c r="A27" s="8" t="s">
        <v>56</v>
      </c>
      <c r="B27" s="9">
        <v>7</v>
      </c>
      <c r="C27" s="9">
        <v>8</v>
      </c>
      <c r="D27" s="9">
        <f t="shared" si="2"/>
        <v>1</v>
      </c>
    </row>
    <row r="28" spans="1:4" x14ac:dyDescent="0.2">
      <c r="A28" s="8" t="s">
        <v>57</v>
      </c>
      <c r="B28" s="9">
        <v>9</v>
      </c>
      <c r="C28" s="9">
        <v>8</v>
      </c>
      <c r="D28" s="9">
        <f t="shared" si="2"/>
        <v>-1</v>
      </c>
    </row>
    <row r="29" spans="1:4" x14ac:dyDescent="0.2">
      <c r="A29" s="8" t="s">
        <v>58</v>
      </c>
      <c r="B29" s="9">
        <v>6</v>
      </c>
      <c r="C29" s="9">
        <v>7</v>
      </c>
      <c r="D29" s="9">
        <f t="shared" si="2"/>
        <v>1</v>
      </c>
    </row>
    <row r="30" spans="1:4" x14ac:dyDescent="0.2">
      <c r="A30" s="8" t="s">
        <v>59</v>
      </c>
      <c r="B30" s="9">
        <v>6</v>
      </c>
      <c r="C30" s="9">
        <v>7</v>
      </c>
      <c r="D30" s="9">
        <f t="shared" si="2"/>
        <v>1</v>
      </c>
    </row>
    <row r="31" spans="1:4" x14ac:dyDescent="0.2">
      <c r="A31" s="8" t="s">
        <v>60</v>
      </c>
      <c r="B31" s="9">
        <v>9</v>
      </c>
      <c r="C31" s="9">
        <v>6</v>
      </c>
      <c r="D31" s="9">
        <f t="shared" si="2"/>
        <v>-3</v>
      </c>
    </row>
    <row r="32" spans="1:4" x14ac:dyDescent="0.2">
      <c r="A32" s="8" t="s">
        <v>61</v>
      </c>
      <c r="B32" s="9">
        <v>6</v>
      </c>
      <c r="C32" s="9">
        <v>6</v>
      </c>
      <c r="D32" s="9">
        <f t="shared" si="2"/>
        <v>0</v>
      </c>
    </row>
    <row r="33" spans="1:4" x14ac:dyDescent="0.2">
      <c r="A33" s="8" t="s">
        <v>62</v>
      </c>
      <c r="B33" s="9">
        <v>5</v>
      </c>
      <c r="C33" s="9">
        <v>6</v>
      </c>
      <c r="D33" s="9">
        <f t="shared" si="2"/>
        <v>1</v>
      </c>
    </row>
    <row r="34" spans="1:4" x14ac:dyDescent="0.2">
      <c r="A34" s="8" t="s">
        <v>63</v>
      </c>
      <c r="B34" s="9">
        <v>2</v>
      </c>
      <c r="C34" s="9">
        <v>4</v>
      </c>
      <c r="D34" s="9">
        <f t="shared" si="2"/>
        <v>2</v>
      </c>
    </row>
    <row r="35" spans="1:4" x14ac:dyDescent="0.2">
      <c r="A35" s="8" t="s">
        <v>64</v>
      </c>
      <c r="B35" s="9">
        <v>4</v>
      </c>
      <c r="C35" s="9">
        <v>4</v>
      </c>
      <c r="D35" s="9">
        <f t="shared" si="2"/>
        <v>0</v>
      </c>
    </row>
    <row r="36" spans="1:4" x14ac:dyDescent="0.2">
      <c r="A36" s="8" t="s">
        <v>65</v>
      </c>
      <c r="B36" s="9">
        <v>3</v>
      </c>
      <c r="C36" s="9">
        <v>4</v>
      </c>
      <c r="D36" s="9">
        <f t="shared" si="2"/>
        <v>1</v>
      </c>
    </row>
    <row r="37" spans="1:4" x14ac:dyDescent="0.2">
      <c r="A37" s="8" t="s">
        <v>66</v>
      </c>
      <c r="B37" s="9">
        <v>3</v>
      </c>
      <c r="C37" s="9">
        <v>3</v>
      </c>
      <c r="D37" s="9">
        <f t="shared" si="2"/>
        <v>0</v>
      </c>
    </row>
    <row r="38" spans="1:4" x14ac:dyDescent="0.2">
      <c r="A38" s="11" t="s">
        <v>67</v>
      </c>
    </row>
  </sheetData>
  <mergeCells count="5">
    <mergeCell ref="A1:D1"/>
    <mergeCell ref="A3:D3"/>
    <mergeCell ref="A10:D10"/>
    <mergeCell ref="A15:D15"/>
    <mergeCell ref="A25:D2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J1"/>
    </sheetView>
  </sheetViews>
  <sheetFormatPr baseColWidth="10" defaultColWidth="8.6640625" defaultRowHeight="15" x14ac:dyDescent="0.2"/>
  <cols>
    <col min="1" max="1" width="22" customWidth="1"/>
    <col min="2" max="10" width="10" customWidth="1"/>
  </cols>
  <sheetData>
    <row r="1" spans="1:10" ht="24" customHeight="1" x14ac:dyDescent="0.2">
      <c r="A1" s="3" t="s">
        <v>68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s="7"/>
      <c r="B2" s="1" t="s">
        <v>69</v>
      </c>
      <c r="C2" s="1"/>
      <c r="D2" s="1"/>
      <c r="E2" s="1"/>
      <c r="F2" s="1" t="s">
        <v>70</v>
      </c>
      <c r="G2" s="1"/>
      <c r="H2" s="1"/>
      <c r="I2" s="1"/>
      <c r="J2" s="7"/>
    </row>
    <row r="3" spans="1:10" x14ac:dyDescent="0.2">
      <c r="A3" s="7" t="s">
        <v>71</v>
      </c>
      <c r="B3" s="7" t="s">
        <v>72</v>
      </c>
      <c r="C3" s="7" t="s">
        <v>73</v>
      </c>
      <c r="D3" s="7" t="s">
        <v>74</v>
      </c>
      <c r="E3" s="7" t="s">
        <v>75</v>
      </c>
      <c r="F3" s="7" t="s">
        <v>72</v>
      </c>
      <c r="G3" s="7" t="s">
        <v>73</v>
      </c>
      <c r="H3" s="7" t="s">
        <v>74</v>
      </c>
      <c r="I3" s="7" t="s">
        <v>75</v>
      </c>
      <c r="J3" s="7" t="s">
        <v>76</v>
      </c>
    </row>
    <row r="4" spans="1:10" x14ac:dyDescent="0.2">
      <c r="A4" s="12" t="s">
        <v>55</v>
      </c>
      <c r="B4" s="10">
        <v>0.28889999999999999</v>
      </c>
      <c r="C4" s="9" t="s">
        <v>77</v>
      </c>
      <c r="D4" s="10">
        <v>0.66669999999999996</v>
      </c>
      <c r="E4" s="10">
        <v>0.2</v>
      </c>
      <c r="F4" s="10">
        <v>0.33079999999999998</v>
      </c>
      <c r="G4" s="9" t="s">
        <v>77</v>
      </c>
      <c r="H4" s="10">
        <v>0.69230000000000003</v>
      </c>
      <c r="I4" s="10">
        <v>0.3</v>
      </c>
      <c r="J4" s="9">
        <f t="shared" ref="J4:J19" si="0">F4-B4</f>
        <v>4.1899999999999993E-2</v>
      </c>
    </row>
    <row r="5" spans="1:10" x14ac:dyDescent="0.2">
      <c r="A5" s="13" t="s">
        <v>57</v>
      </c>
      <c r="B5" s="14">
        <v>0.32590000000000002</v>
      </c>
      <c r="C5" s="15" t="s">
        <v>77</v>
      </c>
      <c r="D5" s="14">
        <v>0.77780000000000005</v>
      </c>
      <c r="E5" s="14">
        <v>0.2</v>
      </c>
      <c r="F5" s="14">
        <v>0.2205</v>
      </c>
      <c r="G5" s="15" t="s">
        <v>77</v>
      </c>
      <c r="H5" s="14">
        <v>0.46150000000000002</v>
      </c>
      <c r="I5" s="14">
        <v>0.2</v>
      </c>
      <c r="J5" s="15">
        <f t="shared" si="0"/>
        <v>-0.10540000000000002</v>
      </c>
    </row>
    <row r="6" spans="1:10" x14ac:dyDescent="0.2">
      <c r="A6" s="12" t="s">
        <v>63</v>
      </c>
      <c r="B6" s="10">
        <v>6.6699999999999995E-2</v>
      </c>
      <c r="C6" s="9" t="s">
        <v>77</v>
      </c>
      <c r="D6" s="9" t="s">
        <v>77</v>
      </c>
      <c r="E6" s="10">
        <v>0.2</v>
      </c>
      <c r="F6" s="10">
        <v>0.1333</v>
      </c>
      <c r="G6" s="9" t="s">
        <v>77</v>
      </c>
      <c r="H6" s="9" t="s">
        <v>77</v>
      </c>
      <c r="I6" s="10">
        <v>0.4</v>
      </c>
      <c r="J6" s="9">
        <f t="shared" si="0"/>
        <v>6.6600000000000006E-2</v>
      </c>
    </row>
    <row r="7" spans="1:10" x14ac:dyDescent="0.2">
      <c r="A7" s="13" t="s">
        <v>56</v>
      </c>
      <c r="B7" s="14">
        <v>0.44440000000000002</v>
      </c>
      <c r="C7" s="14">
        <v>1</v>
      </c>
      <c r="D7" s="14">
        <v>0.33329999999999999</v>
      </c>
      <c r="E7" s="15" t="s">
        <v>77</v>
      </c>
      <c r="F7" s="14">
        <v>0.43590000000000001</v>
      </c>
      <c r="G7" s="14">
        <v>1</v>
      </c>
      <c r="H7" s="14">
        <v>0.30769999999999997</v>
      </c>
      <c r="I7" s="15" t="s">
        <v>77</v>
      </c>
      <c r="J7" s="15">
        <f t="shared" si="0"/>
        <v>-8.5000000000000075E-3</v>
      </c>
    </row>
    <row r="8" spans="1:10" x14ac:dyDescent="0.2">
      <c r="A8" s="12" t="s">
        <v>78</v>
      </c>
      <c r="B8" s="10">
        <v>6.6699999999999995E-2</v>
      </c>
      <c r="C8" s="9" t="s">
        <v>77</v>
      </c>
      <c r="D8" s="9" t="s">
        <v>77</v>
      </c>
      <c r="E8" s="10">
        <v>0.2</v>
      </c>
      <c r="F8" s="10">
        <v>0.1</v>
      </c>
      <c r="G8" s="9" t="s">
        <v>77</v>
      </c>
      <c r="H8" s="9" t="s">
        <v>77</v>
      </c>
      <c r="I8" s="10">
        <v>0.3</v>
      </c>
      <c r="J8" s="9">
        <f t="shared" si="0"/>
        <v>3.330000000000001E-2</v>
      </c>
    </row>
    <row r="9" spans="1:10" x14ac:dyDescent="0.2">
      <c r="A9" s="13" t="s">
        <v>58</v>
      </c>
      <c r="B9" s="14">
        <v>0.40739999999999998</v>
      </c>
      <c r="C9" s="14">
        <v>1</v>
      </c>
      <c r="D9" s="14">
        <v>0.22220000000000001</v>
      </c>
      <c r="E9" s="15" t="s">
        <v>77</v>
      </c>
      <c r="F9" s="14">
        <v>0.4103</v>
      </c>
      <c r="G9" s="14">
        <v>1</v>
      </c>
      <c r="H9" s="14">
        <v>0.23080000000000001</v>
      </c>
      <c r="I9" s="15" t="s">
        <v>77</v>
      </c>
      <c r="J9" s="15">
        <f t="shared" si="0"/>
        <v>2.9000000000000137E-3</v>
      </c>
    </row>
    <row r="10" spans="1:10" x14ac:dyDescent="0.2">
      <c r="A10" s="12" t="s">
        <v>61</v>
      </c>
      <c r="B10" s="10">
        <v>0.40739999999999998</v>
      </c>
      <c r="C10" s="10">
        <v>1</v>
      </c>
      <c r="D10" s="10">
        <v>0.22220000000000001</v>
      </c>
      <c r="E10" s="9" t="s">
        <v>77</v>
      </c>
      <c r="F10" s="10">
        <v>0.3846</v>
      </c>
      <c r="G10" s="10">
        <v>1</v>
      </c>
      <c r="H10" s="10">
        <v>0.15379999999999999</v>
      </c>
      <c r="I10" s="9" t="s">
        <v>77</v>
      </c>
      <c r="J10" s="9">
        <f t="shared" si="0"/>
        <v>-2.2799999999999987E-2</v>
      </c>
    </row>
    <row r="11" spans="1:10" x14ac:dyDescent="0.2">
      <c r="A11" s="13" t="s">
        <v>79</v>
      </c>
      <c r="B11" s="14">
        <v>6.6699999999999995E-2</v>
      </c>
      <c r="C11" s="15" t="s">
        <v>77</v>
      </c>
      <c r="D11" s="15" t="s">
        <v>77</v>
      </c>
      <c r="E11" s="14">
        <v>0.2</v>
      </c>
      <c r="F11" s="14">
        <v>6.6699999999999995E-2</v>
      </c>
      <c r="G11" s="15" t="s">
        <v>77</v>
      </c>
      <c r="H11" s="15" t="s">
        <v>77</v>
      </c>
      <c r="I11" s="14">
        <v>0.2</v>
      </c>
      <c r="J11" s="15">
        <f t="shared" si="0"/>
        <v>0</v>
      </c>
    </row>
    <row r="12" spans="1:10" x14ac:dyDescent="0.2">
      <c r="A12" s="12" t="s">
        <v>62</v>
      </c>
      <c r="B12" s="10">
        <v>0.37040000000000001</v>
      </c>
      <c r="C12" s="10">
        <v>1</v>
      </c>
      <c r="D12" s="10">
        <v>0.1111</v>
      </c>
      <c r="E12" s="9" t="s">
        <v>77</v>
      </c>
      <c r="F12" s="10">
        <v>0.3846</v>
      </c>
      <c r="G12" s="10">
        <v>1</v>
      </c>
      <c r="H12" s="10">
        <v>0.15379999999999999</v>
      </c>
      <c r="I12" s="9" t="s">
        <v>77</v>
      </c>
      <c r="J12" s="9">
        <f t="shared" si="0"/>
        <v>1.419999999999999E-2</v>
      </c>
    </row>
    <row r="13" spans="1:10" x14ac:dyDescent="0.2">
      <c r="A13" s="13" t="s">
        <v>59</v>
      </c>
      <c r="B13" s="14">
        <v>0.2</v>
      </c>
      <c r="C13" s="15" t="s">
        <v>77</v>
      </c>
      <c r="D13" s="15" t="s">
        <v>77</v>
      </c>
      <c r="E13" s="14">
        <v>0.6</v>
      </c>
      <c r="F13" s="14">
        <v>0.23330000000000001</v>
      </c>
      <c r="G13" s="15" t="s">
        <v>77</v>
      </c>
      <c r="H13" s="15" t="s">
        <v>77</v>
      </c>
      <c r="I13" s="14">
        <v>0.7</v>
      </c>
      <c r="J13" s="15">
        <f t="shared" si="0"/>
        <v>3.3299999999999996E-2</v>
      </c>
    </row>
    <row r="14" spans="1:10" x14ac:dyDescent="0.2">
      <c r="A14" s="12" t="s">
        <v>60</v>
      </c>
      <c r="B14" s="10">
        <v>0.30740000000000001</v>
      </c>
      <c r="C14" s="9" t="s">
        <v>77</v>
      </c>
      <c r="D14" s="10">
        <v>0.22220000000000001</v>
      </c>
      <c r="E14" s="10">
        <v>0.7</v>
      </c>
      <c r="F14" s="10">
        <v>0.1923</v>
      </c>
      <c r="G14" s="9" t="s">
        <v>77</v>
      </c>
      <c r="H14" s="10">
        <v>7.6899999999999996E-2</v>
      </c>
      <c r="I14" s="10">
        <v>0.5</v>
      </c>
      <c r="J14" s="9">
        <f t="shared" si="0"/>
        <v>-0.11510000000000001</v>
      </c>
    </row>
    <row r="15" spans="1:10" x14ac:dyDescent="0.2">
      <c r="A15" s="13" t="s">
        <v>65</v>
      </c>
      <c r="B15" s="14">
        <v>0.1</v>
      </c>
      <c r="C15" s="15" t="s">
        <v>77</v>
      </c>
      <c r="D15" s="15" t="s">
        <v>77</v>
      </c>
      <c r="E15" s="14">
        <v>0.3</v>
      </c>
      <c r="F15" s="14">
        <v>0.1333</v>
      </c>
      <c r="G15" s="15" t="s">
        <v>77</v>
      </c>
      <c r="H15" s="15" t="s">
        <v>77</v>
      </c>
      <c r="I15" s="14">
        <v>0.4</v>
      </c>
      <c r="J15" s="15">
        <f t="shared" si="0"/>
        <v>3.3299999999999996E-2</v>
      </c>
    </row>
    <row r="16" spans="1:10" x14ac:dyDescent="0.2">
      <c r="A16" s="12" t="s">
        <v>64</v>
      </c>
      <c r="B16" s="10">
        <v>0.33329999999999999</v>
      </c>
      <c r="C16" s="10">
        <v>1</v>
      </c>
      <c r="D16" s="9" t="s">
        <v>77</v>
      </c>
      <c r="E16" s="9" t="s">
        <v>77</v>
      </c>
      <c r="F16" s="10">
        <v>0.33329999999999999</v>
      </c>
      <c r="G16" s="10">
        <v>1</v>
      </c>
      <c r="H16" s="9" t="s">
        <v>77</v>
      </c>
      <c r="I16" s="9" t="s">
        <v>77</v>
      </c>
      <c r="J16" s="9">
        <f t="shared" si="0"/>
        <v>0</v>
      </c>
    </row>
    <row r="17" spans="1:10" x14ac:dyDescent="0.2">
      <c r="A17" s="13" t="s">
        <v>80</v>
      </c>
      <c r="B17" s="14">
        <v>0.1</v>
      </c>
      <c r="C17" s="15" t="s">
        <v>77</v>
      </c>
      <c r="D17" s="15" t="s">
        <v>77</v>
      </c>
      <c r="E17" s="14">
        <v>0.3</v>
      </c>
      <c r="F17" s="14">
        <v>6.6699999999999995E-2</v>
      </c>
      <c r="G17" s="15" t="s">
        <v>77</v>
      </c>
      <c r="H17" s="15" t="s">
        <v>77</v>
      </c>
      <c r="I17" s="14">
        <v>0.2</v>
      </c>
      <c r="J17" s="15">
        <f t="shared" si="0"/>
        <v>-3.330000000000001E-2</v>
      </c>
    </row>
    <row r="18" spans="1:10" x14ac:dyDescent="0.2">
      <c r="A18" s="12" t="s">
        <v>81</v>
      </c>
      <c r="B18" s="10">
        <v>6.6699999999999995E-2</v>
      </c>
      <c r="C18" s="9" t="s">
        <v>77</v>
      </c>
      <c r="D18" s="9" t="s">
        <v>77</v>
      </c>
      <c r="E18" s="10">
        <v>0.2</v>
      </c>
      <c r="F18" s="10">
        <v>6.6699999999999995E-2</v>
      </c>
      <c r="G18" s="9" t="s">
        <v>77</v>
      </c>
      <c r="H18" s="9" t="s">
        <v>77</v>
      </c>
      <c r="I18" s="10">
        <v>0.2</v>
      </c>
      <c r="J18" s="9">
        <f t="shared" si="0"/>
        <v>0</v>
      </c>
    </row>
    <row r="19" spans="1:10" x14ac:dyDescent="0.2">
      <c r="A19" s="13" t="s">
        <v>66</v>
      </c>
      <c r="B19" s="14">
        <v>0.1111</v>
      </c>
      <c r="C19" s="15" t="s">
        <v>77</v>
      </c>
      <c r="D19" s="14">
        <v>0.33329999999999999</v>
      </c>
      <c r="E19" s="15" t="s">
        <v>77</v>
      </c>
      <c r="F19" s="14">
        <v>7.6899999999999996E-2</v>
      </c>
      <c r="G19" s="15" t="s">
        <v>77</v>
      </c>
      <c r="H19" s="14">
        <v>0.23080000000000001</v>
      </c>
      <c r="I19" s="15" t="s">
        <v>77</v>
      </c>
      <c r="J19" s="15">
        <f t="shared" si="0"/>
        <v>-3.4200000000000008E-2</v>
      </c>
    </row>
    <row r="20" spans="1:10" x14ac:dyDescent="0.2">
      <c r="A20" s="12" t="s">
        <v>82</v>
      </c>
      <c r="B20" s="9" t="s">
        <v>77</v>
      </c>
      <c r="C20" s="9" t="s">
        <v>77</v>
      </c>
      <c r="D20" s="9" t="s">
        <v>77</v>
      </c>
      <c r="E20" s="9" t="s">
        <v>77</v>
      </c>
      <c r="F20" s="10">
        <v>5.1299999999999998E-2</v>
      </c>
      <c r="G20" s="9" t="s">
        <v>77</v>
      </c>
      <c r="H20" s="10">
        <v>0.15379999999999999</v>
      </c>
      <c r="I20" s="9" t="s">
        <v>77</v>
      </c>
      <c r="J20" s="9"/>
    </row>
    <row r="21" spans="1:10" x14ac:dyDescent="0.2">
      <c r="A21" s="13" t="s">
        <v>83</v>
      </c>
      <c r="B21" s="14">
        <v>7.4099999999999999E-2</v>
      </c>
      <c r="C21" s="15" t="s">
        <v>77</v>
      </c>
      <c r="D21" s="14">
        <v>0.22220000000000001</v>
      </c>
      <c r="E21" s="15" t="s">
        <v>77</v>
      </c>
      <c r="F21" s="14">
        <v>5.1299999999999998E-2</v>
      </c>
      <c r="G21" s="15" t="s">
        <v>77</v>
      </c>
      <c r="H21" s="14">
        <v>0.15379999999999999</v>
      </c>
      <c r="I21" s="15" t="s">
        <v>77</v>
      </c>
      <c r="J21" s="15">
        <f>F21-B21</f>
        <v>-2.2800000000000001E-2</v>
      </c>
    </row>
    <row r="22" spans="1:10" x14ac:dyDescent="0.2">
      <c r="A22" s="12" t="s">
        <v>84</v>
      </c>
      <c r="B22" s="10">
        <v>0.1</v>
      </c>
      <c r="C22" s="9" t="s">
        <v>77</v>
      </c>
      <c r="D22" s="9" t="s">
        <v>77</v>
      </c>
      <c r="E22" s="10">
        <v>0.3</v>
      </c>
      <c r="F22" s="10">
        <v>6.6699999999999995E-2</v>
      </c>
      <c r="G22" s="9" t="s">
        <v>77</v>
      </c>
      <c r="H22" s="9" t="s">
        <v>77</v>
      </c>
      <c r="I22" s="10">
        <v>0.2</v>
      </c>
      <c r="J22" s="9">
        <f>F22-B22</f>
        <v>-3.330000000000001E-2</v>
      </c>
    </row>
    <row r="23" spans="1:10" x14ac:dyDescent="0.2">
      <c r="A23" s="13" t="s">
        <v>85</v>
      </c>
      <c r="B23" s="14">
        <v>0.14810000000000001</v>
      </c>
      <c r="C23" s="15" t="s">
        <v>77</v>
      </c>
      <c r="D23" s="14">
        <v>0.44440000000000002</v>
      </c>
      <c r="E23" s="15" t="s">
        <v>77</v>
      </c>
      <c r="F23" s="14">
        <v>2.5600000000000001E-2</v>
      </c>
      <c r="G23" s="15" t="s">
        <v>77</v>
      </c>
      <c r="H23" s="14">
        <v>7.6899999999999996E-2</v>
      </c>
      <c r="I23" s="15" t="s">
        <v>77</v>
      </c>
      <c r="J23" s="15">
        <f>F23-B23</f>
        <v>-0.12250000000000001</v>
      </c>
    </row>
    <row r="24" spans="1:10" x14ac:dyDescent="0.2">
      <c r="A24" s="12" t="s">
        <v>86</v>
      </c>
      <c r="B24" s="9" t="s">
        <v>77</v>
      </c>
      <c r="C24" s="9" t="s">
        <v>77</v>
      </c>
      <c r="D24" s="9" t="s">
        <v>77</v>
      </c>
      <c r="E24" s="9" t="s">
        <v>77</v>
      </c>
      <c r="F24" s="10">
        <v>2.5600000000000001E-2</v>
      </c>
      <c r="G24" s="9" t="s">
        <v>77</v>
      </c>
      <c r="H24" s="10">
        <v>7.6899999999999996E-2</v>
      </c>
      <c r="I24" s="9" t="s">
        <v>77</v>
      </c>
      <c r="J24" s="9"/>
    </row>
    <row r="25" spans="1:10" x14ac:dyDescent="0.2">
      <c r="A25" s="13" t="s">
        <v>87</v>
      </c>
      <c r="B25" s="15" t="s">
        <v>77</v>
      </c>
      <c r="C25" s="15" t="s">
        <v>77</v>
      </c>
      <c r="D25" s="15" t="s">
        <v>77</v>
      </c>
      <c r="E25" s="15" t="s">
        <v>77</v>
      </c>
      <c r="F25" s="14">
        <v>2.5600000000000001E-2</v>
      </c>
      <c r="G25" s="15" t="s">
        <v>77</v>
      </c>
      <c r="H25" s="14">
        <v>7.6899999999999996E-2</v>
      </c>
      <c r="I25" s="15" t="s">
        <v>77</v>
      </c>
      <c r="J25" s="15"/>
    </row>
    <row r="26" spans="1:10" x14ac:dyDescent="0.2">
      <c r="A26" s="12" t="s">
        <v>88</v>
      </c>
      <c r="B26" s="9" t="s">
        <v>77</v>
      </c>
      <c r="C26" s="9" t="s">
        <v>77</v>
      </c>
      <c r="D26" s="9" t="s">
        <v>77</v>
      </c>
      <c r="E26" s="9" t="s">
        <v>77</v>
      </c>
      <c r="F26" s="10">
        <v>2.5600000000000001E-2</v>
      </c>
      <c r="G26" s="9" t="s">
        <v>77</v>
      </c>
      <c r="H26" s="10">
        <v>7.6899999999999996E-2</v>
      </c>
      <c r="I26" s="9" t="s">
        <v>77</v>
      </c>
      <c r="J26" s="9"/>
    </row>
    <row r="27" spans="1:10" x14ac:dyDescent="0.2">
      <c r="A27" s="11" t="s">
        <v>89</v>
      </c>
    </row>
  </sheetData>
  <mergeCells count="3">
    <mergeCell ref="A1:J1"/>
    <mergeCell ref="B2:E2"/>
    <mergeCell ref="F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J1"/>
    </sheetView>
  </sheetViews>
  <sheetFormatPr baseColWidth="10" defaultColWidth="8.6640625" defaultRowHeight="15" x14ac:dyDescent="0.2"/>
  <cols>
    <col min="1" max="1" width="22" customWidth="1"/>
    <col min="2" max="10" width="10" customWidth="1"/>
  </cols>
  <sheetData>
    <row r="1" spans="1:10" ht="24" customHeight="1" x14ac:dyDescent="0.2">
      <c r="A1" s="3" t="s">
        <v>90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s="7"/>
      <c r="B2" s="1" t="s">
        <v>69</v>
      </c>
      <c r="C2" s="1"/>
      <c r="D2" s="1"/>
      <c r="E2" s="1"/>
      <c r="F2" s="1" t="s">
        <v>70</v>
      </c>
      <c r="G2" s="1"/>
      <c r="H2" s="1"/>
      <c r="I2" s="1"/>
      <c r="J2" s="7"/>
    </row>
    <row r="3" spans="1:10" x14ac:dyDescent="0.2">
      <c r="A3" s="7" t="s">
        <v>71</v>
      </c>
      <c r="B3" s="7" t="s">
        <v>72</v>
      </c>
      <c r="C3" s="7" t="s">
        <v>73</v>
      </c>
      <c r="D3" s="7" t="s">
        <v>74</v>
      </c>
      <c r="E3" s="7" t="s">
        <v>75</v>
      </c>
      <c r="F3" s="7" t="s">
        <v>72</v>
      </c>
      <c r="G3" s="7" t="s">
        <v>73</v>
      </c>
      <c r="H3" s="7" t="s">
        <v>74</v>
      </c>
      <c r="I3" s="7" t="s">
        <v>75</v>
      </c>
      <c r="J3" s="7" t="s">
        <v>76</v>
      </c>
    </row>
    <row r="4" spans="1:10" x14ac:dyDescent="0.2">
      <c r="A4" s="12" t="s">
        <v>55</v>
      </c>
      <c r="B4" s="10">
        <v>0.42109999999999997</v>
      </c>
      <c r="C4" s="9" t="s">
        <v>77</v>
      </c>
      <c r="D4" s="10">
        <v>0.66669999999999996</v>
      </c>
      <c r="E4" s="10">
        <v>0.2</v>
      </c>
      <c r="F4" s="10">
        <v>0.52170000000000005</v>
      </c>
      <c r="G4" s="9" t="s">
        <v>77</v>
      </c>
      <c r="H4" s="10">
        <v>0.69230000000000003</v>
      </c>
      <c r="I4" s="10">
        <v>0.3</v>
      </c>
      <c r="J4" s="9">
        <f t="shared" ref="J4:J19" si="0">F4-B4</f>
        <v>0.10060000000000008</v>
      </c>
    </row>
    <row r="5" spans="1:10" x14ac:dyDescent="0.2">
      <c r="A5" s="13" t="s">
        <v>57</v>
      </c>
      <c r="B5" s="14">
        <v>0.47370000000000001</v>
      </c>
      <c r="C5" s="15" t="s">
        <v>77</v>
      </c>
      <c r="D5" s="14">
        <v>0.77780000000000005</v>
      </c>
      <c r="E5" s="14">
        <v>0.2</v>
      </c>
      <c r="F5" s="14">
        <v>0.3478</v>
      </c>
      <c r="G5" s="15" t="s">
        <v>77</v>
      </c>
      <c r="H5" s="14">
        <v>0.46150000000000002</v>
      </c>
      <c r="I5" s="14">
        <v>0.2</v>
      </c>
      <c r="J5" s="15">
        <f t="shared" si="0"/>
        <v>-0.12590000000000001</v>
      </c>
    </row>
    <row r="6" spans="1:10" x14ac:dyDescent="0.2">
      <c r="A6" s="12" t="s">
        <v>63</v>
      </c>
      <c r="B6" s="10">
        <v>0.2</v>
      </c>
      <c r="C6" s="9" t="s">
        <v>77</v>
      </c>
      <c r="D6" s="9" t="s">
        <v>77</v>
      </c>
      <c r="E6" s="10">
        <v>0.2</v>
      </c>
      <c r="F6" s="10">
        <v>0.4</v>
      </c>
      <c r="G6" s="9" t="s">
        <v>77</v>
      </c>
      <c r="H6" s="9" t="s">
        <v>77</v>
      </c>
      <c r="I6" s="10">
        <v>0.4</v>
      </c>
      <c r="J6" s="9">
        <f t="shared" si="0"/>
        <v>0.2</v>
      </c>
    </row>
    <row r="7" spans="1:10" x14ac:dyDescent="0.2">
      <c r="A7" s="13" t="s">
        <v>56</v>
      </c>
      <c r="B7" s="14">
        <v>0.53849999999999998</v>
      </c>
      <c r="C7" s="14">
        <v>1</v>
      </c>
      <c r="D7" s="14">
        <v>0.33329999999999999</v>
      </c>
      <c r="E7" s="15" t="s">
        <v>77</v>
      </c>
      <c r="F7" s="14">
        <v>0.47060000000000002</v>
      </c>
      <c r="G7" s="14">
        <v>1</v>
      </c>
      <c r="H7" s="14">
        <v>0.30769999999999997</v>
      </c>
      <c r="I7" s="15" t="s">
        <v>77</v>
      </c>
      <c r="J7" s="15">
        <f t="shared" si="0"/>
        <v>-6.789999999999996E-2</v>
      </c>
    </row>
    <row r="8" spans="1:10" x14ac:dyDescent="0.2">
      <c r="A8" s="12" t="s">
        <v>78</v>
      </c>
      <c r="B8" s="10">
        <v>0.2</v>
      </c>
      <c r="C8" s="9" t="s">
        <v>77</v>
      </c>
      <c r="D8" s="9" t="s">
        <v>77</v>
      </c>
      <c r="E8" s="10">
        <v>0.2</v>
      </c>
      <c r="F8" s="10">
        <v>0.3</v>
      </c>
      <c r="G8" s="9" t="s">
        <v>77</v>
      </c>
      <c r="H8" s="9" t="s">
        <v>77</v>
      </c>
      <c r="I8" s="10">
        <v>0.3</v>
      </c>
      <c r="J8" s="9">
        <f t="shared" si="0"/>
        <v>9.9999999999999978E-2</v>
      </c>
    </row>
    <row r="9" spans="1:10" x14ac:dyDescent="0.2">
      <c r="A9" s="13" t="s">
        <v>58</v>
      </c>
      <c r="B9" s="14">
        <v>0.46150000000000002</v>
      </c>
      <c r="C9" s="14">
        <v>1</v>
      </c>
      <c r="D9" s="14">
        <v>0.22220000000000001</v>
      </c>
      <c r="E9" s="15" t="s">
        <v>77</v>
      </c>
      <c r="F9" s="14">
        <v>0.4118</v>
      </c>
      <c r="G9" s="14">
        <v>1</v>
      </c>
      <c r="H9" s="14">
        <v>0.23080000000000001</v>
      </c>
      <c r="I9" s="15" t="s">
        <v>77</v>
      </c>
      <c r="J9" s="15">
        <f t="shared" si="0"/>
        <v>-4.9700000000000022E-2</v>
      </c>
    </row>
    <row r="10" spans="1:10" x14ac:dyDescent="0.2">
      <c r="A10" s="12" t="s">
        <v>61</v>
      </c>
      <c r="B10" s="10">
        <v>0.46150000000000002</v>
      </c>
      <c r="C10" s="10">
        <v>1</v>
      </c>
      <c r="D10" s="10">
        <v>0.22220000000000001</v>
      </c>
      <c r="E10" s="9" t="s">
        <v>77</v>
      </c>
      <c r="F10" s="10">
        <v>0.35289999999999999</v>
      </c>
      <c r="G10" s="10">
        <v>1</v>
      </c>
      <c r="H10" s="10">
        <v>0.15379999999999999</v>
      </c>
      <c r="I10" s="9" t="s">
        <v>77</v>
      </c>
      <c r="J10" s="9">
        <f t="shared" si="0"/>
        <v>-0.10860000000000003</v>
      </c>
    </row>
    <row r="11" spans="1:10" x14ac:dyDescent="0.2">
      <c r="A11" s="13" t="s">
        <v>79</v>
      </c>
      <c r="B11" s="14">
        <v>0.2</v>
      </c>
      <c r="C11" s="15" t="s">
        <v>77</v>
      </c>
      <c r="D11" s="15" t="s">
        <v>77</v>
      </c>
      <c r="E11" s="14">
        <v>0.2</v>
      </c>
      <c r="F11" s="14">
        <v>0.2</v>
      </c>
      <c r="G11" s="15" t="s">
        <v>77</v>
      </c>
      <c r="H11" s="15" t="s">
        <v>77</v>
      </c>
      <c r="I11" s="14">
        <v>0.2</v>
      </c>
      <c r="J11" s="15">
        <f t="shared" si="0"/>
        <v>0</v>
      </c>
    </row>
    <row r="12" spans="1:10" x14ac:dyDescent="0.2">
      <c r="A12" s="12" t="s">
        <v>62</v>
      </c>
      <c r="B12" s="10">
        <v>0.3846</v>
      </c>
      <c r="C12" s="10">
        <v>1</v>
      </c>
      <c r="D12" s="10">
        <v>0.1111</v>
      </c>
      <c r="E12" s="9" t="s">
        <v>77</v>
      </c>
      <c r="F12" s="10">
        <v>0.35289999999999999</v>
      </c>
      <c r="G12" s="10">
        <v>1</v>
      </c>
      <c r="H12" s="10">
        <v>0.15379999999999999</v>
      </c>
      <c r="I12" s="9" t="s">
        <v>77</v>
      </c>
      <c r="J12" s="9">
        <f t="shared" si="0"/>
        <v>-3.1700000000000006E-2</v>
      </c>
    </row>
    <row r="13" spans="1:10" x14ac:dyDescent="0.2">
      <c r="A13" s="13" t="s">
        <v>59</v>
      </c>
      <c r="B13" s="14">
        <v>0.6</v>
      </c>
      <c r="C13" s="15" t="s">
        <v>77</v>
      </c>
      <c r="D13" s="15" t="s">
        <v>77</v>
      </c>
      <c r="E13" s="14">
        <v>0.6</v>
      </c>
      <c r="F13" s="14">
        <v>0.7</v>
      </c>
      <c r="G13" s="15" t="s">
        <v>77</v>
      </c>
      <c r="H13" s="15" t="s">
        <v>77</v>
      </c>
      <c r="I13" s="14">
        <v>0.7</v>
      </c>
      <c r="J13" s="15">
        <f t="shared" si="0"/>
        <v>9.9999999999999978E-2</v>
      </c>
    </row>
    <row r="14" spans="1:10" x14ac:dyDescent="0.2">
      <c r="A14" s="12" t="s">
        <v>60</v>
      </c>
      <c r="B14" s="10">
        <v>0.47370000000000001</v>
      </c>
      <c r="C14" s="9" t="s">
        <v>77</v>
      </c>
      <c r="D14" s="10">
        <v>0.22220000000000001</v>
      </c>
      <c r="E14" s="10">
        <v>0.7</v>
      </c>
      <c r="F14" s="10">
        <v>0.26090000000000002</v>
      </c>
      <c r="G14" s="9" t="s">
        <v>77</v>
      </c>
      <c r="H14" s="10">
        <v>7.6899999999999996E-2</v>
      </c>
      <c r="I14" s="10">
        <v>0.5</v>
      </c>
      <c r="J14" s="9">
        <f t="shared" si="0"/>
        <v>-0.21279999999999999</v>
      </c>
    </row>
    <row r="15" spans="1:10" x14ac:dyDescent="0.2">
      <c r="A15" s="13" t="s">
        <v>65</v>
      </c>
      <c r="B15" s="14">
        <v>0.3</v>
      </c>
      <c r="C15" s="15" t="s">
        <v>77</v>
      </c>
      <c r="D15" s="15" t="s">
        <v>77</v>
      </c>
      <c r="E15" s="14">
        <v>0.3</v>
      </c>
      <c r="F15" s="14">
        <v>0.4</v>
      </c>
      <c r="G15" s="15" t="s">
        <v>77</v>
      </c>
      <c r="H15" s="15" t="s">
        <v>77</v>
      </c>
      <c r="I15" s="14">
        <v>0.4</v>
      </c>
      <c r="J15" s="15">
        <f t="shared" si="0"/>
        <v>0.10000000000000003</v>
      </c>
    </row>
    <row r="16" spans="1:10" x14ac:dyDescent="0.2">
      <c r="A16" s="12" t="s">
        <v>64</v>
      </c>
      <c r="B16" s="10">
        <v>1</v>
      </c>
      <c r="C16" s="10">
        <v>1</v>
      </c>
      <c r="D16" s="9" t="s">
        <v>77</v>
      </c>
      <c r="E16" s="9" t="s">
        <v>77</v>
      </c>
      <c r="F16" s="10">
        <v>1</v>
      </c>
      <c r="G16" s="10">
        <v>1</v>
      </c>
      <c r="H16" s="9" t="s">
        <v>77</v>
      </c>
      <c r="I16" s="9" t="s">
        <v>77</v>
      </c>
      <c r="J16" s="9">
        <f t="shared" si="0"/>
        <v>0</v>
      </c>
    </row>
    <row r="17" spans="1:10" x14ac:dyDescent="0.2">
      <c r="A17" s="13" t="s">
        <v>80</v>
      </c>
      <c r="B17" s="14">
        <v>0.3</v>
      </c>
      <c r="C17" s="15" t="s">
        <v>77</v>
      </c>
      <c r="D17" s="15" t="s">
        <v>77</v>
      </c>
      <c r="E17" s="14">
        <v>0.3</v>
      </c>
      <c r="F17" s="14">
        <v>0.2</v>
      </c>
      <c r="G17" s="15" t="s">
        <v>77</v>
      </c>
      <c r="H17" s="15" t="s">
        <v>77</v>
      </c>
      <c r="I17" s="14">
        <v>0.2</v>
      </c>
      <c r="J17" s="15">
        <f t="shared" si="0"/>
        <v>-9.9999999999999978E-2</v>
      </c>
    </row>
    <row r="18" spans="1:10" x14ac:dyDescent="0.2">
      <c r="A18" s="12" t="s">
        <v>81</v>
      </c>
      <c r="B18" s="10">
        <v>0.2</v>
      </c>
      <c r="C18" s="9" t="s">
        <v>77</v>
      </c>
      <c r="D18" s="9" t="s">
        <v>77</v>
      </c>
      <c r="E18" s="10">
        <v>0.2</v>
      </c>
      <c r="F18" s="10">
        <v>0.2</v>
      </c>
      <c r="G18" s="9" t="s">
        <v>77</v>
      </c>
      <c r="H18" s="9" t="s">
        <v>77</v>
      </c>
      <c r="I18" s="10">
        <v>0.2</v>
      </c>
      <c r="J18" s="9">
        <f t="shared" si="0"/>
        <v>0</v>
      </c>
    </row>
    <row r="19" spans="1:10" x14ac:dyDescent="0.2">
      <c r="A19" s="13" t="s">
        <v>66</v>
      </c>
      <c r="B19" s="14">
        <v>0.33329999999999999</v>
      </c>
      <c r="C19" s="15" t="s">
        <v>77</v>
      </c>
      <c r="D19" s="14">
        <v>0.33329999999999999</v>
      </c>
      <c r="E19" s="15" t="s">
        <v>77</v>
      </c>
      <c r="F19" s="14">
        <v>0.23080000000000001</v>
      </c>
      <c r="G19" s="15" t="s">
        <v>77</v>
      </c>
      <c r="H19" s="14">
        <v>0.23080000000000001</v>
      </c>
      <c r="I19" s="15" t="s">
        <v>77</v>
      </c>
      <c r="J19" s="15">
        <f t="shared" si="0"/>
        <v>-0.10249999999999998</v>
      </c>
    </row>
    <row r="20" spans="1:10" x14ac:dyDescent="0.2">
      <c r="A20" s="12" t="s">
        <v>82</v>
      </c>
      <c r="B20" s="9" t="s">
        <v>77</v>
      </c>
      <c r="C20" s="9" t="s">
        <v>77</v>
      </c>
      <c r="D20" s="9" t="s">
        <v>77</v>
      </c>
      <c r="E20" s="9" t="s">
        <v>77</v>
      </c>
      <c r="F20" s="10">
        <v>0.15379999999999999</v>
      </c>
      <c r="G20" s="9" t="s">
        <v>77</v>
      </c>
      <c r="H20" s="10">
        <v>0.15379999999999999</v>
      </c>
      <c r="I20" s="9" t="s">
        <v>77</v>
      </c>
      <c r="J20" s="9"/>
    </row>
    <row r="21" spans="1:10" x14ac:dyDescent="0.2">
      <c r="A21" s="13" t="s">
        <v>83</v>
      </c>
      <c r="B21" s="14">
        <v>0.22220000000000001</v>
      </c>
      <c r="C21" s="15" t="s">
        <v>77</v>
      </c>
      <c r="D21" s="14">
        <v>0.22220000000000001</v>
      </c>
      <c r="E21" s="15" t="s">
        <v>77</v>
      </c>
      <c r="F21" s="14">
        <v>0.15379999999999999</v>
      </c>
      <c r="G21" s="15" t="s">
        <v>77</v>
      </c>
      <c r="H21" s="14">
        <v>0.15379999999999999</v>
      </c>
      <c r="I21" s="15" t="s">
        <v>77</v>
      </c>
      <c r="J21" s="15">
        <f>F21-B21</f>
        <v>-6.8400000000000016E-2</v>
      </c>
    </row>
    <row r="22" spans="1:10" x14ac:dyDescent="0.2">
      <c r="A22" s="12" t="s">
        <v>84</v>
      </c>
      <c r="B22" s="10">
        <v>0.3</v>
      </c>
      <c r="C22" s="9" t="s">
        <v>77</v>
      </c>
      <c r="D22" s="9" t="s">
        <v>77</v>
      </c>
      <c r="E22" s="10">
        <v>0.3</v>
      </c>
      <c r="F22" s="10">
        <v>0.2</v>
      </c>
      <c r="G22" s="9" t="s">
        <v>77</v>
      </c>
      <c r="H22" s="9" t="s">
        <v>77</v>
      </c>
      <c r="I22" s="10">
        <v>0.2</v>
      </c>
      <c r="J22" s="9">
        <f>F22-B22</f>
        <v>-9.9999999999999978E-2</v>
      </c>
    </row>
    <row r="23" spans="1:10" x14ac:dyDescent="0.2">
      <c r="A23" s="13" t="s">
        <v>85</v>
      </c>
      <c r="B23" s="14">
        <v>0.44440000000000002</v>
      </c>
      <c r="C23" s="15" t="s">
        <v>77</v>
      </c>
      <c r="D23" s="14">
        <v>0.44440000000000002</v>
      </c>
      <c r="E23" s="15" t="s">
        <v>77</v>
      </c>
      <c r="F23" s="14">
        <v>7.6899999999999996E-2</v>
      </c>
      <c r="G23" s="15" t="s">
        <v>77</v>
      </c>
      <c r="H23" s="14">
        <v>7.6899999999999996E-2</v>
      </c>
      <c r="I23" s="15" t="s">
        <v>77</v>
      </c>
      <c r="J23" s="15">
        <f>F23-B23</f>
        <v>-0.36750000000000005</v>
      </c>
    </row>
    <row r="24" spans="1:10" x14ac:dyDescent="0.2">
      <c r="A24" s="12" t="s">
        <v>86</v>
      </c>
      <c r="B24" s="9" t="s">
        <v>77</v>
      </c>
      <c r="C24" s="9" t="s">
        <v>77</v>
      </c>
      <c r="D24" s="9" t="s">
        <v>77</v>
      </c>
      <c r="E24" s="9" t="s">
        <v>77</v>
      </c>
      <c r="F24" s="10">
        <v>7.6899999999999996E-2</v>
      </c>
      <c r="G24" s="9" t="s">
        <v>77</v>
      </c>
      <c r="H24" s="10">
        <v>7.6899999999999996E-2</v>
      </c>
      <c r="I24" s="9" t="s">
        <v>77</v>
      </c>
      <c r="J24" s="9"/>
    </row>
    <row r="25" spans="1:10" x14ac:dyDescent="0.2">
      <c r="A25" s="13" t="s">
        <v>87</v>
      </c>
      <c r="B25" s="15" t="s">
        <v>77</v>
      </c>
      <c r="C25" s="15" t="s">
        <v>77</v>
      </c>
      <c r="D25" s="15" t="s">
        <v>77</v>
      </c>
      <c r="E25" s="15" t="s">
        <v>77</v>
      </c>
      <c r="F25" s="14">
        <v>7.6899999999999996E-2</v>
      </c>
      <c r="G25" s="15" t="s">
        <v>77</v>
      </c>
      <c r="H25" s="14">
        <v>7.6899999999999996E-2</v>
      </c>
      <c r="I25" s="15" t="s">
        <v>77</v>
      </c>
      <c r="J25" s="15"/>
    </row>
    <row r="26" spans="1:10" x14ac:dyDescent="0.2">
      <c r="A26" s="12" t="s">
        <v>88</v>
      </c>
      <c r="B26" s="9" t="s">
        <v>77</v>
      </c>
      <c r="C26" s="9" t="s">
        <v>77</v>
      </c>
      <c r="D26" s="9" t="s">
        <v>77</v>
      </c>
      <c r="E26" s="9" t="s">
        <v>77</v>
      </c>
      <c r="F26" s="10">
        <v>7.6899999999999996E-2</v>
      </c>
      <c r="G26" s="9" t="s">
        <v>77</v>
      </c>
      <c r="H26" s="10">
        <v>7.6899999999999996E-2</v>
      </c>
      <c r="I26" s="9" t="s">
        <v>77</v>
      </c>
      <c r="J26" s="9"/>
    </row>
    <row r="27" spans="1:10" x14ac:dyDescent="0.2">
      <c r="A27" s="11" t="s">
        <v>91</v>
      </c>
    </row>
  </sheetData>
  <mergeCells count="3">
    <mergeCell ref="A1:J1"/>
    <mergeCell ref="B2:E2"/>
    <mergeCell ref="F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7"/>
  <sheetViews>
    <sheetView zoomScaleNormal="100" workbookViewId="0">
      <pane ySplit="2" topLeftCell="A3" activePane="bottomLeft" state="frozen"/>
      <selection pane="bottomLeft" sqref="A1:H1"/>
    </sheetView>
  </sheetViews>
  <sheetFormatPr baseColWidth="10" defaultColWidth="8.6640625" defaultRowHeight="15" x14ac:dyDescent="0.2"/>
  <cols>
    <col min="1" max="1" width="30" customWidth="1"/>
    <col min="2" max="8" width="11" customWidth="1"/>
  </cols>
  <sheetData>
    <row r="1" spans="1:8" ht="24" customHeight="1" x14ac:dyDescent="0.2">
      <c r="A1" s="3" t="s">
        <v>92</v>
      </c>
      <c r="B1" s="3"/>
      <c r="C1" s="3"/>
      <c r="D1" s="3"/>
      <c r="E1" s="3"/>
      <c r="F1" s="3"/>
      <c r="G1" s="3"/>
      <c r="H1" s="3"/>
    </row>
    <row r="2" spans="1:8" x14ac:dyDescent="0.2">
      <c r="A2" s="7" t="s">
        <v>93</v>
      </c>
      <c r="B2" s="7" t="s">
        <v>94</v>
      </c>
      <c r="C2" s="7" t="s">
        <v>95</v>
      </c>
      <c r="D2" s="7" t="s">
        <v>96</v>
      </c>
      <c r="E2" s="7" t="s">
        <v>97</v>
      </c>
      <c r="F2" s="7" t="s">
        <v>98</v>
      </c>
      <c r="G2" s="7" t="s">
        <v>99</v>
      </c>
      <c r="H2" s="7" t="s">
        <v>100</v>
      </c>
    </row>
    <row r="3" spans="1:8" x14ac:dyDescent="0.2">
      <c r="A3" s="12" t="s">
        <v>101</v>
      </c>
      <c r="B3" s="9">
        <v>5</v>
      </c>
      <c r="C3" s="9">
        <v>10</v>
      </c>
      <c r="D3" s="10">
        <f>IF(B3&gt;1,C3/(B3*(B3-1)/2),0)</f>
        <v>1</v>
      </c>
      <c r="E3" s="9">
        <v>5</v>
      </c>
      <c r="F3" s="9">
        <v>10</v>
      </c>
      <c r="G3" s="10">
        <f>IF(E3&gt;1,F3/(E3*(E3-1)/2),0)</f>
        <v>1</v>
      </c>
      <c r="H3" s="10">
        <f>G3-D3</f>
        <v>0</v>
      </c>
    </row>
    <row r="4" spans="1:8" x14ac:dyDescent="0.2">
      <c r="A4" s="12" t="s">
        <v>102</v>
      </c>
      <c r="B4" s="9">
        <v>10</v>
      </c>
      <c r="C4" s="9">
        <v>16</v>
      </c>
      <c r="D4" s="10">
        <f>IF(B4&gt;1,C4/(B4*(B4-1)/2),0)</f>
        <v>0.35555555555555557</v>
      </c>
      <c r="E4" s="9">
        <v>14</v>
      </c>
      <c r="F4" s="9">
        <v>19</v>
      </c>
      <c r="G4" s="10">
        <f>IF(E4&gt;1,F4/(E4*(E4-1)/2),0)</f>
        <v>0.2087912087912088</v>
      </c>
      <c r="H4" s="10">
        <f>G4-D4</f>
        <v>-0.14676434676434677</v>
      </c>
    </row>
    <row r="5" spans="1:8" x14ac:dyDescent="0.2">
      <c r="A5" s="12" t="s">
        <v>103</v>
      </c>
      <c r="B5" s="9">
        <v>11</v>
      </c>
      <c r="C5" s="9">
        <v>17</v>
      </c>
      <c r="D5" s="10">
        <f>IF(B5&gt;1,C5/(B5*(B5-1)/2),0)</f>
        <v>0.30909090909090908</v>
      </c>
      <c r="E5" s="9">
        <v>11</v>
      </c>
      <c r="F5" s="9">
        <v>18</v>
      </c>
      <c r="G5" s="10">
        <f>IF(E5&gt;1,F5/(E5*(E5-1)/2),0)</f>
        <v>0.32727272727272727</v>
      </c>
      <c r="H5" s="10">
        <f>G5-D5</f>
        <v>1.8181818181818188E-2</v>
      </c>
    </row>
    <row r="6" spans="1:8" x14ac:dyDescent="0.2">
      <c r="A6" s="16" t="s">
        <v>43</v>
      </c>
      <c r="B6" s="17">
        <v>19</v>
      </c>
      <c r="C6" s="17">
        <v>41</v>
      </c>
      <c r="D6" s="18">
        <f>IF(B6&gt;1,C6/(B6*(B6-1)/2),0)</f>
        <v>0.23976608187134502</v>
      </c>
      <c r="E6" s="17">
        <v>23</v>
      </c>
      <c r="F6" s="17">
        <v>46</v>
      </c>
      <c r="G6" s="18">
        <f>IF(E6&gt;1,F6/(E6*(E6-1)/2),0)</f>
        <v>0.18181818181818182</v>
      </c>
      <c r="H6" s="18">
        <f>G6-D6</f>
        <v>-5.7947900053163193E-2</v>
      </c>
    </row>
    <row r="7" spans="1:8" x14ac:dyDescent="0.2">
      <c r="A7" s="11" t="s">
        <v>104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J1"/>
    </sheetView>
  </sheetViews>
  <sheetFormatPr baseColWidth="10" defaultColWidth="8.6640625" defaultRowHeight="15" x14ac:dyDescent="0.2"/>
  <cols>
    <col min="1" max="1" width="22" customWidth="1"/>
    <col min="2" max="10" width="10" customWidth="1"/>
  </cols>
  <sheetData>
    <row r="1" spans="1:10" ht="24" customHeight="1" x14ac:dyDescent="0.2">
      <c r="A1" s="3" t="s">
        <v>105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2">
      <c r="A2" s="7"/>
      <c r="B2" s="1" t="s">
        <v>69</v>
      </c>
      <c r="C2" s="1"/>
      <c r="D2" s="1"/>
      <c r="E2" s="1"/>
      <c r="F2" s="1" t="s">
        <v>70</v>
      </c>
      <c r="G2" s="1"/>
      <c r="H2" s="1"/>
      <c r="I2" s="1"/>
      <c r="J2" s="7"/>
    </row>
    <row r="3" spans="1:10" x14ac:dyDescent="0.2">
      <c r="A3" s="7" t="s">
        <v>71</v>
      </c>
      <c r="B3" s="7" t="s">
        <v>72</v>
      </c>
      <c r="C3" s="7" t="s">
        <v>73</v>
      </c>
      <c r="D3" s="7" t="s">
        <v>74</v>
      </c>
      <c r="E3" s="7" t="s">
        <v>75</v>
      </c>
      <c r="F3" s="7" t="s">
        <v>72</v>
      </c>
      <c r="G3" s="7" t="s">
        <v>73</v>
      </c>
      <c r="H3" s="7" t="s">
        <v>74</v>
      </c>
      <c r="I3" s="7" t="s">
        <v>75</v>
      </c>
      <c r="J3" s="7" t="s">
        <v>76</v>
      </c>
    </row>
    <row r="4" spans="1:10" x14ac:dyDescent="0.2">
      <c r="A4" s="12" t="s">
        <v>55</v>
      </c>
      <c r="B4" s="9"/>
      <c r="C4" s="9" t="s">
        <v>77</v>
      </c>
      <c r="D4" s="9">
        <v>6</v>
      </c>
      <c r="E4" s="9">
        <v>2</v>
      </c>
      <c r="F4" s="9"/>
      <c r="G4" s="9" t="s">
        <v>77</v>
      </c>
      <c r="H4" s="9">
        <v>9</v>
      </c>
      <c r="I4" s="9">
        <v>3</v>
      </c>
      <c r="J4" s="9"/>
    </row>
    <row r="5" spans="1:10" x14ac:dyDescent="0.2">
      <c r="A5" s="13" t="s">
        <v>57</v>
      </c>
      <c r="B5" s="15"/>
      <c r="C5" s="15" t="s">
        <v>77</v>
      </c>
      <c r="D5" s="15">
        <v>7</v>
      </c>
      <c r="E5" s="15">
        <v>2</v>
      </c>
      <c r="F5" s="15"/>
      <c r="G5" s="15" t="s">
        <v>77</v>
      </c>
      <c r="H5" s="15">
        <v>6</v>
      </c>
      <c r="I5" s="15">
        <v>2</v>
      </c>
      <c r="J5" s="15"/>
    </row>
    <row r="6" spans="1:10" x14ac:dyDescent="0.2">
      <c r="A6" s="12" t="s">
        <v>63</v>
      </c>
      <c r="B6" s="9"/>
      <c r="C6" s="9" t="s">
        <v>77</v>
      </c>
      <c r="D6" s="9" t="s">
        <v>77</v>
      </c>
      <c r="E6" s="9">
        <v>2</v>
      </c>
      <c r="F6" s="9"/>
      <c r="G6" s="9" t="s">
        <v>77</v>
      </c>
      <c r="H6" s="9" t="s">
        <v>77</v>
      </c>
      <c r="I6" s="9">
        <v>4</v>
      </c>
      <c r="J6" s="9"/>
    </row>
    <row r="7" spans="1:10" x14ac:dyDescent="0.2">
      <c r="A7" s="13" t="s">
        <v>56</v>
      </c>
      <c r="B7" s="15"/>
      <c r="C7" s="15">
        <v>4</v>
      </c>
      <c r="D7" s="15">
        <v>3</v>
      </c>
      <c r="E7" s="15" t="s">
        <v>77</v>
      </c>
      <c r="F7" s="15"/>
      <c r="G7" s="15">
        <v>4</v>
      </c>
      <c r="H7" s="15">
        <v>4</v>
      </c>
      <c r="I7" s="15" t="s">
        <v>77</v>
      </c>
      <c r="J7" s="15"/>
    </row>
    <row r="8" spans="1:10" x14ac:dyDescent="0.2">
      <c r="A8" s="12" t="s">
        <v>78</v>
      </c>
      <c r="B8" s="9"/>
      <c r="C8" s="9" t="s">
        <v>77</v>
      </c>
      <c r="D8" s="9" t="s">
        <v>77</v>
      </c>
      <c r="E8" s="9">
        <v>2</v>
      </c>
      <c r="F8" s="9"/>
      <c r="G8" s="9" t="s">
        <v>77</v>
      </c>
      <c r="H8" s="9" t="s">
        <v>77</v>
      </c>
      <c r="I8" s="9">
        <v>3</v>
      </c>
      <c r="J8" s="9"/>
    </row>
    <row r="9" spans="1:10" x14ac:dyDescent="0.2">
      <c r="A9" s="13" t="s">
        <v>58</v>
      </c>
      <c r="B9" s="15"/>
      <c r="C9" s="15">
        <v>4</v>
      </c>
      <c r="D9" s="15">
        <v>2</v>
      </c>
      <c r="E9" s="15" t="s">
        <v>77</v>
      </c>
      <c r="F9" s="15"/>
      <c r="G9" s="15">
        <v>4</v>
      </c>
      <c r="H9" s="15">
        <v>3</v>
      </c>
      <c r="I9" s="15" t="s">
        <v>77</v>
      </c>
      <c r="J9" s="15"/>
    </row>
    <row r="10" spans="1:10" x14ac:dyDescent="0.2">
      <c r="A10" s="12" t="s">
        <v>61</v>
      </c>
      <c r="B10" s="9"/>
      <c r="C10" s="9">
        <v>4</v>
      </c>
      <c r="D10" s="9">
        <v>2</v>
      </c>
      <c r="E10" s="9" t="s">
        <v>77</v>
      </c>
      <c r="F10" s="9"/>
      <c r="G10" s="9">
        <v>4</v>
      </c>
      <c r="H10" s="9">
        <v>2</v>
      </c>
      <c r="I10" s="9" t="s">
        <v>77</v>
      </c>
      <c r="J10" s="9"/>
    </row>
    <row r="11" spans="1:10" x14ac:dyDescent="0.2">
      <c r="A11" s="13" t="s">
        <v>79</v>
      </c>
      <c r="B11" s="15"/>
      <c r="C11" s="15" t="s">
        <v>77</v>
      </c>
      <c r="D11" s="15" t="s">
        <v>77</v>
      </c>
      <c r="E11" s="15">
        <v>2</v>
      </c>
      <c r="F11" s="15"/>
      <c r="G11" s="15" t="s">
        <v>77</v>
      </c>
      <c r="H11" s="15" t="s">
        <v>77</v>
      </c>
      <c r="I11" s="15">
        <v>2</v>
      </c>
      <c r="J11" s="15"/>
    </row>
    <row r="12" spans="1:10" x14ac:dyDescent="0.2">
      <c r="A12" s="12" t="s">
        <v>62</v>
      </c>
      <c r="B12" s="9"/>
      <c r="C12" s="9">
        <v>4</v>
      </c>
      <c r="D12" s="9">
        <v>1</v>
      </c>
      <c r="E12" s="9" t="s">
        <v>77</v>
      </c>
      <c r="F12" s="9"/>
      <c r="G12" s="9">
        <v>4</v>
      </c>
      <c r="H12" s="9">
        <v>2</v>
      </c>
      <c r="I12" s="9" t="s">
        <v>77</v>
      </c>
      <c r="J12" s="9"/>
    </row>
    <row r="13" spans="1:10" x14ac:dyDescent="0.2">
      <c r="A13" s="13" t="s">
        <v>59</v>
      </c>
      <c r="B13" s="15"/>
      <c r="C13" s="15" t="s">
        <v>77</v>
      </c>
      <c r="D13" s="15" t="s">
        <v>77</v>
      </c>
      <c r="E13" s="15">
        <v>6</v>
      </c>
      <c r="F13" s="15"/>
      <c r="G13" s="15" t="s">
        <v>77</v>
      </c>
      <c r="H13" s="15" t="s">
        <v>77</v>
      </c>
      <c r="I13" s="15">
        <v>7</v>
      </c>
      <c r="J13" s="15"/>
    </row>
    <row r="14" spans="1:10" x14ac:dyDescent="0.2">
      <c r="A14" s="12" t="s">
        <v>60</v>
      </c>
      <c r="B14" s="9"/>
      <c r="C14" s="9" t="s">
        <v>77</v>
      </c>
      <c r="D14" s="9">
        <v>2</v>
      </c>
      <c r="E14" s="9">
        <v>7</v>
      </c>
      <c r="F14" s="9"/>
      <c r="G14" s="9" t="s">
        <v>77</v>
      </c>
      <c r="H14" s="9">
        <v>1</v>
      </c>
      <c r="I14" s="9">
        <v>5</v>
      </c>
      <c r="J14" s="9"/>
    </row>
    <row r="15" spans="1:10" x14ac:dyDescent="0.2">
      <c r="A15" s="13" t="s">
        <v>65</v>
      </c>
      <c r="B15" s="15"/>
      <c r="C15" s="15" t="s">
        <v>77</v>
      </c>
      <c r="D15" s="15" t="s">
        <v>77</v>
      </c>
      <c r="E15" s="15">
        <v>3</v>
      </c>
      <c r="F15" s="15"/>
      <c r="G15" s="15" t="s">
        <v>77</v>
      </c>
      <c r="H15" s="15" t="s">
        <v>77</v>
      </c>
      <c r="I15" s="15">
        <v>4</v>
      </c>
      <c r="J15" s="15"/>
    </row>
    <row r="16" spans="1:10" x14ac:dyDescent="0.2">
      <c r="A16" s="12" t="s">
        <v>64</v>
      </c>
      <c r="B16" s="9"/>
      <c r="C16" s="9">
        <v>4</v>
      </c>
      <c r="D16" s="9" t="s">
        <v>77</v>
      </c>
      <c r="E16" s="9" t="s">
        <v>77</v>
      </c>
      <c r="F16" s="9"/>
      <c r="G16" s="9">
        <v>4</v>
      </c>
      <c r="H16" s="9" t="s">
        <v>77</v>
      </c>
      <c r="I16" s="9" t="s">
        <v>77</v>
      </c>
      <c r="J16" s="9"/>
    </row>
    <row r="17" spans="1:10" x14ac:dyDescent="0.2">
      <c r="A17" s="13" t="s">
        <v>80</v>
      </c>
      <c r="B17" s="15"/>
      <c r="C17" s="15" t="s">
        <v>77</v>
      </c>
      <c r="D17" s="15" t="s">
        <v>77</v>
      </c>
      <c r="E17" s="15">
        <v>3</v>
      </c>
      <c r="F17" s="15"/>
      <c r="G17" s="15" t="s">
        <v>77</v>
      </c>
      <c r="H17" s="15" t="s">
        <v>77</v>
      </c>
      <c r="I17" s="15">
        <v>2</v>
      </c>
      <c r="J17" s="15"/>
    </row>
    <row r="18" spans="1:10" x14ac:dyDescent="0.2">
      <c r="A18" s="12" t="s">
        <v>81</v>
      </c>
      <c r="B18" s="9"/>
      <c r="C18" s="9" t="s">
        <v>77</v>
      </c>
      <c r="D18" s="9" t="s">
        <v>77</v>
      </c>
      <c r="E18" s="9">
        <v>2</v>
      </c>
      <c r="F18" s="9"/>
      <c r="G18" s="9" t="s">
        <v>77</v>
      </c>
      <c r="H18" s="9" t="s">
        <v>77</v>
      </c>
      <c r="I18" s="9">
        <v>2</v>
      </c>
      <c r="J18" s="9"/>
    </row>
    <row r="19" spans="1:10" x14ac:dyDescent="0.2">
      <c r="A19" s="13" t="s">
        <v>66</v>
      </c>
      <c r="B19" s="15"/>
      <c r="C19" s="15" t="s">
        <v>77</v>
      </c>
      <c r="D19" s="15">
        <v>3</v>
      </c>
      <c r="E19" s="15" t="s">
        <v>77</v>
      </c>
      <c r="F19" s="15"/>
      <c r="G19" s="15" t="s">
        <v>77</v>
      </c>
      <c r="H19" s="15">
        <v>3</v>
      </c>
      <c r="I19" s="15" t="s">
        <v>77</v>
      </c>
      <c r="J19" s="15"/>
    </row>
    <row r="20" spans="1:10" x14ac:dyDescent="0.2">
      <c r="A20" s="12" t="s">
        <v>82</v>
      </c>
      <c r="B20" s="9"/>
      <c r="C20" s="9" t="s">
        <v>77</v>
      </c>
      <c r="D20" s="9" t="s">
        <v>77</v>
      </c>
      <c r="E20" s="9" t="s">
        <v>77</v>
      </c>
      <c r="F20" s="9"/>
      <c r="G20" s="9" t="s">
        <v>77</v>
      </c>
      <c r="H20" s="9">
        <v>2</v>
      </c>
      <c r="I20" s="9" t="s">
        <v>77</v>
      </c>
      <c r="J20" s="9"/>
    </row>
    <row r="21" spans="1:10" x14ac:dyDescent="0.2">
      <c r="A21" s="13" t="s">
        <v>83</v>
      </c>
      <c r="B21" s="15"/>
      <c r="C21" s="15" t="s">
        <v>77</v>
      </c>
      <c r="D21" s="15">
        <v>2</v>
      </c>
      <c r="E21" s="15" t="s">
        <v>77</v>
      </c>
      <c r="F21" s="15"/>
      <c r="G21" s="15" t="s">
        <v>77</v>
      </c>
      <c r="H21" s="15">
        <v>2</v>
      </c>
      <c r="I21" s="15" t="s">
        <v>77</v>
      </c>
      <c r="J21" s="15"/>
    </row>
    <row r="22" spans="1:10" x14ac:dyDescent="0.2">
      <c r="A22" s="12" t="s">
        <v>84</v>
      </c>
      <c r="B22" s="9"/>
      <c r="C22" s="9" t="s">
        <v>77</v>
      </c>
      <c r="D22" s="9" t="s">
        <v>77</v>
      </c>
      <c r="E22" s="9">
        <v>3</v>
      </c>
      <c r="F22" s="9"/>
      <c r="G22" s="9" t="s">
        <v>77</v>
      </c>
      <c r="H22" s="9" t="s">
        <v>77</v>
      </c>
      <c r="I22" s="9">
        <v>2</v>
      </c>
      <c r="J22" s="9"/>
    </row>
    <row r="23" spans="1:10" x14ac:dyDescent="0.2">
      <c r="A23" s="13" t="s">
        <v>85</v>
      </c>
      <c r="B23" s="15"/>
      <c r="C23" s="15" t="s">
        <v>77</v>
      </c>
      <c r="D23" s="15">
        <v>4</v>
      </c>
      <c r="E23" s="15" t="s">
        <v>77</v>
      </c>
      <c r="F23" s="15"/>
      <c r="G23" s="15" t="s">
        <v>77</v>
      </c>
      <c r="H23" s="15">
        <v>1</v>
      </c>
      <c r="I23" s="15" t="s">
        <v>77</v>
      </c>
      <c r="J23" s="15"/>
    </row>
    <row r="24" spans="1:10" x14ac:dyDescent="0.2">
      <c r="A24" s="12" t="s">
        <v>86</v>
      </c>
      <c r="B24" s="9"/>
      <c r="C24" s="9" t="s">
        <v>77</v>
      </c>
      <c r="D24" s="9" t="s">
        <v>77</v>
      </c>
      <c r="E24" s="9" t="s">
        <v>77</v>
      </c>
      <c r="F24" s="9"/>
      <c r="G24" s="9" t="s">
        <v>77</v>
      </c>
      <c r="H24" s="9">
        <v>1</v>
      </c>
      <c r="I24" s="9" t="s">
        <v>77</v>
      </c>
      <c r="J24" s="9"/>
    </row>
    <row r="25" spans="1:10" x14ac:dyDescent="0.2">
      <c r="A25" s="13" t="s">
        <v>87</v>
      </c>
      <c r="B25" s="15"/>
      <c r="C25" s="15" t="s">
        <v>77</v>
      </c>
      <c r="D25" s="15" t="s">
        <v>77</v>
      </c>
      <c r="E25" s="15" t="s">
        <v>77</v>
      </c>
      <c r="F25" s="15"/>
      <c r="G25" s="15" t="s">
        <v>77</v>
      </c>
      <c r="H25" s="15">
        <v>1</v>
      </c>
      <c r="I25" s="15" t="s">
        <v>77</v>
      </c>
      <c r="J25" s="15"/>
    </row>
    <row r="26" spans="1:10" x14ac:dyDescent="0.2">
      <c r="A26" s="12" t="s">
        <v>88</v>
      </c>
      <c r="B26" s="9"/>
      <c r="C26" s="9" t="s">
        <v>77</v>
      </c>
      <c r="D26" s="9" t="s">
        <v>77</v>
      </c>
      <c r="E26" s="9" t="s">
        <v>77</v>
      </c>
      <c r="F26" s="9"/>
      <c r="G26" s="9" t="s">
        <v>77</v>
      </c>
      <c r="H26" s="9">
        <v>1</v>
      </c>
      <c r="I26" s="9" t="s">
        <v>77</v>
      </c>
      <c r="J26" s="9"/>
    </row>
    <row r="27" spans="1:10" x14ac:dyDescent="0.2">
      <c r="A27" s="11" t="s">
        <v>106</v>
      </c>
    </row>
  </sheetData>
  <mergeCells count="3">
    <mergeCell ref="A1:J1"/>
    <mergeCell ref="B2:E2"/>
    <mergeCell ref="F2:I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3"/>
  <sheetViews>
    <sheetView zoomScaleNormal="100" workbookViewId="0">
      <pane ySplit="2" topLeftCell="A3" activePane="bottomLeft" state="frozen"/>
      <selection pane="bottomLeft" sqref="A1:D1"/>
    </sheetView>
  </sheetViews>
  <sheetFormatPr baseColWidth="10" defaultColWidth="8.6640625" defaultRowHeight="15" x14ac:dyDescent="0.2"/>
  <cols>
    <col min="1" max="1" width="44" customWidth="1"/>
    <col min="2" max="4" width="14" customWidth="1"/>
  </cols>
  <sheetData>
    <row r="1" spans="1:4" ht="24" customHeight="1" x14ac:dyDescent="0.2">
      <c r="A1" s="3" t="s">
        <v>107</v>
      </c>
      <c r="B1" s="3"/>
      <c r="C1" s="3"/>
      <c r="D1" s="3"/>
    </row>
    <row r="2" spans="1:4" x14ac:dyDescent="0.2">
      <c r="A2" s="7" t="s">
        <v>28</v>
      </c>
      <c r="B2" s="7" t="s">
        <v>29</v>
      </c>
      <c r="C2" s="7" t="s">
        <v>30</v>
      </c>
      <c r="D2" s="7" t="s">
        <v>31</v>
      </c>
    </row>
    <row r="3" spans="1:4" x14ac:dyDescent="0.2">
      <c r="A3" s="2" t="s">
        <v>32</v>
      </c>
      <c r="B3" s="2"/>
      <c r="C3" s="2"/>
      <c r="D3" s="2"/>
    </row>
    <row r="4" spans="1:4" x14ac:dyDescent="0.2">
      <c r="A4" s="8" t="s">
        <v>33</v>
      </c>
      <c r="B4" s="9">
        <v>19</v>
      </c>
      <c r="C4" s="9">
        <v>23</v>
      </c>
      <c r="D4" s="9">
        <f>C4-B4</f>
        <v>4</v>
      </c>
    </row>
    <row r="5" spans="1:4" x14ac:dyDescent="0.2">
      <c r="A5" s="8" t="s">
        <v>34</v>
      </c>
      <c r="B5" s="9">
        <v>45</v>
      </c>
      <c r="C5" s="9">
        <v>49</v>
      </c>
      <c r="D5" s="9">
        <f>C5-B5</f>
        <v>4</v>
      </c>
    </row>
    <row r="6" spans="1:4" x14ac:dyDescent="0.2">
      <c r="A6" s="8" t="s">
        <v>35</v>
      </c>
      <c r="B6" s="9">
        <v>15</v>
      </c>
      <c r="C6" s="9">
        <v>15</v>
      </c>
      <c r="D6" s="9">
        <f>C6-B6</f>
        <v>0</v>
      </c>
    </row>
    <row r="7" spans="1:4" x14ac:dyDescent="0.2">
      <c r="A7" s="8" t="s">
        <v>36</v>
      </c>
      <c r="B7" s="9">
        <v>45</v>
      </c>
      <c r="C7" s="9">
        <v>49</v>
      </c>
      <c r="D7" s="9">
        <f>C7-B7</f>
        <v>4</v>
      </c>
    </row>
    <row r="8" spans="1:4" x14ac:dyDescent="0.2">
      <c r="A8" s="8" t="s">
        <v>37</v>
      </c>
      <c r="B8" s="9">
        <v>0</v>
      </c>
      <c r="C8" s="9">
        <v>0</v>
      </c>
      <c r="D8" s="9">
        <f>C8-B8</f>
        <v>0</v>
      </c>
    </row>
    <row r="9" spans="1:4" x14ac:dyDescent="0.2">
      <c r="A9" s="2" t="s">
        <v>39</v>
      </c>
      <c r="B9" s="2"/>
      <c r="C9" s="2"/>
      <c r="D9" s="2"/>
    </row>
    <row r="10" spans="1:4" x14ac:dyDescent="0.2">
      <c r="A10" s="8" t="s">
        <v>108</v>
      </c>
      <c r="B10" s="10">
        <v>0.15379999999999999</v>
      </c>
      <c r="C10" s="10">
        <v>0.18179999999999999</v>
      </c>
      <c r="D10" s="10">
        <f t="shared" ref="D10:D19" si="0">C10-B10</f>
        <v>2.7999999999999997E-2</v>
      </c>
    </row>
    <row r="11" spans="1:4" x14ac:dyDescent="0.2">
      <c r="A11" s="8" t="s">
        <v>109</v>
      </c>
      <c r="B11" s="10">
        <v>0.3</v>
      </c>
      <c r="C11" s="10">
        <v>1</v>
      </c>
      <c r="D11" s="10">
        <f t="shared" si="0"/>
        <v>0.7</v>
      </c>
    </row>
    <row r="12" spans="1:4" x14ac:dyDescent="0.2">
      <c r="A12" s="8" t="s">
        <v>110</v>
      </c>
      <c r="B12" s="10">
        <v>0</v>
      </c>
      <c r="C12" s="10">
        <v>1</v>
      </c>
      <c r="D12" s="10">
        <f t="shared" si="0"/>
        <v>1</v>
      </c>
    </row>
    <row r="13" spans="1:4" x14ac:dyDescent="0.2">
      <c r="A13" s="8" t="s">
        <v>111</v>
      </c>
      <c r="B13" s="10">
        <v>0.3</v>
      </c>
      <c r="C13" s="10">
        <v>0.26669999999999999</v>
      </c>
      <c r="D13" s="10">
        <f t="shared" si="0"/>
        <v>-3.3299999999999996E-2</v>
      </c>
    </row>
    <row r="14" spans="1:4" x14ac:dyDescent="0.2">
      <c r="A14" s="8" t="s">
        <v>112</v>
      </c>
      <c r="B14" s="10">
        <v>0.23810000000000001</v>
      </c>
      <c r="C14" s="10">
        <v>0.15559999999999999</v>
      </c>
      <c r="D14" s="10">
        <f t="shared" si="0"/>
        <v>-8.2500000000000018E-2</v>
      </c>
    </row>
    <row r="15" spans="1:4" x14ac:dyDescent="0.2">
      <c r="A15" s="8" t="s">
        <v>113</v>
      </c>
      <c r="B15" s="10">
        <v>0.66669999999999996</v>
      </c>
      <c r="C15" s="10">
        <v>0.26669999999999999</v>
      </c>
      <c r="D15" s="10">
        <f t="shared" si="0"/>
        <v>-0.39999999999999997</v>
      </c>
    </row>
    <row r="16" spans="1:4" x14ac:dyDescent="0.2">
      <c r="A16" s="8" t="s">
        <v>114</v>
      </c>
      <c r="B16" s="10">
        <v>0.5</v>
      </c>
      <c r="C16" s="10">
        <v>0.5</v>
      </c>
      <c r="D16" s="10">
        <f t="shared" si="0"/>
        <v>0</v>
      </c>
    </row>
    <row r="17" spans="1:4" x14ac:dyDescent="0.2">
      <c r="A17" s="8" t="s">
        <v>115</v>
      </c>
      <c r="B17" s="10">
        <v>0.4</v>
      </c>
      <c r="C17" s="10">
        <v>0.25</v>
      </c>
      <c r="D17" s="10">
        <f t="shared" si="0"/>
        <v>-0.15000000000000002</v>
      </c>
    </row>
    <row r="18" spans="1:4" x14ac:dyDescent="0.2">
      <c r="A18" s="8" t="s">
        <v>116</v>
      </c>
      <c r="B18" s="10">
        <v>0.28889999999999999</v>
      </c>
      <c r="C18" s="10">
        <v>0.42859999999999998</v>
      </c>
      <c r="D18" s="10">
        <f t="shared" si="0"/>
        <v>0.13969999999999999</v>
      </c>
    </row>
    <row r="19" spans="1:4" x14ac:dyDescent="0.2">
      <c r="A19" s="8" t="s">
        <v>43</v>
      </c>
      <c r="B19" s="10">
        <v>0.2515</v>
      </c>
      <c r="C19" s="10">
        <v>0.18970000000000001</v>
      </c>
      <c r="D19" s="10">
        <f t="shared" si="0"/>
        <v>-6.1799999999999994E-2</v>
      </c>
    </row>
    <row r="20" spans="1:4" x14ac:dyDescent="0.2">
      <c r="A20" s="2" t="s">
        <v>44</v>
      </c>
      <c r="B20" s="2"/>
      <c r="C20" s="2"/>
      <c r="D20" s="2"/>
    </row>
    <row r="21" spans="1:4" x14ac:dyDescent="0.2">
      <c r="A21" s="8" t="s">
        <v>45</v>
      </c>
      <c r="B21" s="9">
        <v>13</v>
      </c>
      <c r="C21" s="9">
        <v>12</v>
      </c>
      <c r="D21" s="9">
        <f t="shared" ref="D21:D29" si="1">C21-B21</f>
        <v>-1</v>
      </c>
    </row>
    <row r="22" spans="1:4" x14ac:dyDescent="0.2">
      <c r="A22" s="8" t="s">
        <v>46</v>
      </c>
      <c r="B22" s="9">
        <v>2</v>
      </c>
      <c r="C22" s="9">
        <v>4</v>
      </c>
      <c r="D22" s="9">
        <f t="shared" si="1"/>
        <v>2</v>
      </c>
    </row>
    <row r="23" spans="1:4" x14ac:dyDescent="0.2">
      <c r="A23" s="8" t="s">
        <v>47</v>
      </c>
      <c r="B23" s="9">
        <v>4</v>
      </c>
      <c r="C23" s="9">
        <v>7</v>
      </c>
      <c r="D23" s="9">
        <f t="shared" si="1"/>
        <v>3</v>
      </c>
    </row>
    <row r="24" spans="1:4" x14ac:dyDescent="0.2">
      <c r="A24" s="8" t="s">
        <v>48</v>
      </c>
      <c r="B24" s="9">
        <v>5</v>
      </c>
      <c r="C24" s="9">
        <v>7</v>
      </c>
      <c r="D24" s="9">
        <f t="shared" si="1"/>
        <v>2</v>
      </c>
    </row>
    <row r="25" spans="1:4" x14ac:dyDescent="0.2">
      <c r="A25" s="8" t="s">
        <v>49</v>
      </c>
      <c r="B25" s="9">
        <v>0</v>
      </c>
      <c r="C25" s="9">
        <v>1</v>
      </c>
      <c r="D25" s="9">
        <f t="shared" si="1"/>
        <v>1</v>
      </c>
    </row>
    <row r="26" spans="1:4" x14ac:dyDescent="0.2">
      <c r="A26" s="8" t="s">
        <v>50</v>
      </c>
      <c r="B26" s="9">
        <v>12</v>
      </c>
      <c r="C26" s="9">
        <v>10</v>
      </c>
      <c r="D26" s="9">
        <f t="shared" si="1"/>
        <v>-2</v>
      </c>
    </row>
    <row r="27" spans="1:4" x14ac:dyDescent="0.2">
      <c r="A27" s="8" t="s">
        <v>51</v>
      </c>
      <c r="B27" s="9">
        <v>3</v>
      </c>
      <c r="C27" s="9">
        <v>3</v>
      </c>
      <c r="D27" s="9">
        <f t="shared" si="1"/>
        <v>0</v>
      </c>
    </row>
    <row r="28" spans="1:4" x14ac:dyDescent="0.2">
      <c r="A28" s="8" t="s">
        <v>52</v>
      </c>
      <c r="B28" s="9">
        <v>3</v>
      </c>
      <c r="C28" s="9">
        <v>1</v>
      </c>
      <c r="D28" s="9">
        <f t="shared" si="1"/>
        <v>-2</v>
      </c>
    </row>
    <row r="29" spans="1:4" x14ac:dyDescent="0.2">
      <c r="A29" s="8" t="s">
        <v>53</v>
      </c>
      <c r="B29" s="9">
        <v>3</v>
      </c>
      <c r="C29" s="9">
        <v>4</v>
      </c>
      <c r="D29" s="9">
        <f t="shared" si="1"/>
        <v>1</v>
      </c>
    </row>
    <row r="30" spans="1:4" x14ac:dyDescent="0.2">
      <c r="A30" s="2" t="s">
        <v>54</v>
      </c>
      <c r="B30" s="2"/>
      <c r="C30" s="2"/>
      <c r="D30" s="2"/>
    </row>
    <row r="31" spans="1:4" x14ac:dyDescent="0.2">
      <c r="A31" s="8" t="s">
        <v>55</v>
      </c>
      <c r="B31" s="9">
        <v>8</v>
      </c>
      <c r="C31" s="9">
        <v>13</v>
      </c>
      <c r="D31" s="9">
        <f t="shared" ref="D31:D42" si="2">C31-B31</f>
        <v>5</v>
      </c>
    </row>
    <row r="32" spans="1:4" x14ac:dyDescent="0.2">
      <c r="A32" s="8" t="s">
        <v>58</v>
      </c>
      <c r="B32" s="9">
        <v>6</v>
      </c>
      <c r="C32" s="9">
        <v>8</v>
      </c>
      <c r="D32" s="9">
        <f t="shared" si="2"/>
        <v>2</v>
      </c>
    </row>
    <row r="33" spans="1:4" x14ac:dyDescent="0.2">
      <c r="A33" s="8" t="s">
        <v>56</v>
      </c>
      <c r="B33" s="9">
        <v>8</v>
      </c>
      <c r="C33" s="9">
        <v>8</v>
      </c>
      <c r="D33" s="9">
        <f t="shared" si="2"/>
        <v>0</v>
      </c>
    </row>
    <row r="34" spans="1:4" x14ac:dyDescent="0.2">
      <c r="A34" s="8" t="s">
        <v>57</v>
      </c>
      <c r="B34" s="9">
        <v>9</v>
      </c>
      <c r="C34" s="9">
        <v>8</v>
      </c>
      <c r="D34" s="9">
        <f t="shared" si="2"/>
        <v>-1</v>
      </c>
    </row>
    <row r="35" spans="1:4" x14ac:dyDescent="0.2">
      <c r="A35" s="8" t="s">
        <v>61</v>
      </c>
      <c r="B35" s="9">
        <v>7</v>
      </c>
      <c r="C35" s="9">
        <v>7</v>
      </c>
      <c r="D35" s="9">
        <f t="shared" si="2"/>
        <v>0</v>
      </c>
    </row>
    <row r="36" spans="1:4" x14ac:dyDescent="0.2">
      <c r="A36" s="8" t="s">
        <v>59</v>
      </c>
      <c r="B36" s="9">
        <v>6</v>
      </c>
      <c r="C36" s="9">
        <v>7</v>
      </c>
      <c r="D36" s="9">
        <f t="shared" si="2"/>
        <v>1</v>
      </c>
    </row>
    <row r="37" spans="1:4" x14ac:dyDescent="0.2">
      <c r="A37" s="8" t="s">
        <v>60</v>
      </c>
      <c r="B37" s="9">
        <v>9</v>
      </c>
      <c r="C37" s="9">
        <v>6</v>
      </c>
      <c r="D37" s="9">
        <f t="shared" si="2"/>
        <v>-3</v>
      </c>
    </row>
    <row r="38" spans="1:4" x14ac:dyDescent="0.2">
      <c r="A38" s="8" t="s">
        <v>62</v>
      </c>
      <c r="B38" s="9">
        <v>5</v>
      </c>
      <c r="C38" s="9">
        <v>6</v>
      </c>
      <c r="D38" s="9">
        <f t="shared" si="2"/>
        <v>1</v>
      </c>
    </row>
    <row r="39" spans="1:4" x14ac:dyDescent="0.2">
      <c r="A39" s="8" t="s">
        <v>63</v>
      </c>
      <c r="B39" s="9">
        <v>3</v>
      </c>
      <c r="C39" s="9">
        <v>4</v>
      </c>
      <c r="D39" s="9">
        <f t="shared" si="2"/>
        <v>1</v>
      </c>
    </row>
    <row r="40" spans="1:4" x14ac:dyDescent="0.2">
      <c r="A40" s="8" t="s">
        <v>64</v>
      </c>
      <c r="B40" s="9">
        <v>4</v>
      </c>
      <c r="C40" s="9">
        <v>4</v>
      </c>
      <c r="D40" s="9">
        <f t="shared" si="2"/>
        <v>0</v>
      </c>
    </row>
    <row r="41" spans="1:4" x14ac:dyDescent="0.2">
      <c r="A41" s="8" t="s">
        <v>65</v>
      </c>
      <c r="B41" s="9">
        <v>3</v>
      </c>
      <c r="C41" s="9">
        <v>4</v>
      </c>
      <c r="D41" s="9">
        <f t="shared" si="2"/>
        <v>1</v>
      </c>
    </row>
    <row r="42" spans="1:4" x14ac:dyDescent="0.2">
      <c r="A42" s="8" t="s">
        <v>66</v>
      </c>
      <c r="B42" s="9">
        <v>3</v>
      </c>
      <c r="C42" s="9">
        <v>3</v>
      </c>
      <c r="D42" s="9">
        <f t="shared" si="2"/>
        <v>0</v>
      </c>
    </row>
    <row r="43" spans="1:4" x14ac:dyDescent="0.2">
      <c r="A43" s="11" t="s">
        <v>67</v>
      </c>
    </row>
  </sheetData>
  <mergeCells count="5">
    <mergeCell ref="A1:D1"/>
    <mergeCell ref="A3:D3"/>
    <mergeCell ref="A9:D9"/>
    <mergeCell ref="A20:D20"/>
    <mergeCell ref="A30:D3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2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V1"/>
    </sheetView>
  </sheetViews>
  <sheetFormatPr baseColWidth="10" defaultColWidth="8.6640625" defaultRowHeight="15" x14ac:dyDescent="0.2"/>
  <cols>
    <col min="1" max="1" width="22" customWidth="1"/>
    <col min="2" max="22" width="10" customWidth="1"/>
  </cols>
  <sheetData>
    <row r="1" spans="1:22" ht="24" customHeight="1" x14ac:dyDescent="0.2">
      <c r="A1" s="3" t="s">
        <v>117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">
      <c r="A2" s="7"/>
      <c r="B2" s="1" t="s">
        <v>69</v>
      </c>
      <c r="C2" s="1"/>
      <c r="D2" s="1"/>
      <c r="E2" s="1"/>
      <c r="F2" s="1"/>
      <c r="G2" s="1"/>
      <c r="H2" s="1"/>
      <c r="I2" s="1"/>
      <c r="J2" s="1"/>
      <c r="K2" s="1"/>
      <c r="L2" s="1" t="s">
        <v>70</v>
      </c>
      <c r="M2" s="1"/>
      <c r="N2" s="1"/>
      <c r="O2" s="1"/>
      <c r="P2" s="1"/>
      <c r="Q2" s="1"/>
      <c r="R2" s="1"/>
      <c r="S2" s="1"/>
      <c r="T2" s="1"/>
      <c r="U2" s="1"/>
      <c r="V2" s="7"/>
    </row>
    <row r="3" spans="1:22" x14ac:dyDescent="0.2">
      <c r="A3" s="7" t="s">
        <v>71</v>
      </c>
      <c r="B3" s="7" t="s">
        <v>72</v>
      </c>
      <c r="C3" s="7" t="s">
        <v>50</v>
      </c>
      <c r="D3" s="7" t="s">
        <v>52</v>
      </c>
      <c r="E3" s="7" t="s">
        <v>49</v>
      </c>
      <c r="F3" s="7" t="s">
        <v>53</v>
      </c>
      <c r="G3" s="7" t="s">
        <v>48</v>
      </c>
      <c r="H3" s="7" t="s">
        <v>46</v>
      </c>
      <c r="I3" s="7" t="s">
        <v>51</v>
      </c>
      <c r="J3" s="7" t="s">
        <v>47</v>
      </c>
      <c r="K3" s="7" t="s">
        <v>45</v>
      </c>
      <c r="L3" s="7" t="s">
        <v>72</v>
      </c>
      <c r="M3" s="7" t="s">
        <v>50</v>
      </c>
      <c r="N3" s="7" t="s">
        <v>52</v>
      </c>
      <c r="O3" s="7" t="s">
        <v>49</v>
      </c>
      <c r="P3" s="7" t="s">
        <v>53</v>
      </c>
      <c r="Q3" s="7" t="s">
        <v>48</v>
      </c>
      <c r="R3" s="7" t="s">
        <v>46</v>
      </c>
      <c r="S3" s="7" t="s">
        <v>51</v>
      </c>
      <c r="T3" s="7" t="s">
        <v>47</v>
      </c>
      <c r="U3" s="7" t="s">
        <v>45</v>
      </c>
      <c r="V3" s="7" t="s">
        <v>76</v>
      </c>
    </row>
    <row r="4" spans="1:22" x14ac:dyDescent="0.2">
      <c r="A4" s="12" t="s">
        <v>55</v>
      </c>
      <c r="B4" s="10">
        <v>0.12959999999999999</v>
      </c>
      <c r="C4" s="10">
        <v>0.33329999999999999</v>
      </c>
      <c r="D4" s="9" t="s">
        <v>77</v>
      </c>
      <c r="E4" s="9" t="s">
        <v>77</v>
      </c>
      <c r="F4" s="10">
        <v>0.25</v>
      </c>
      <c r="G4" s="10">
        <v>0.33329999999999999</v>
      </c>
      <c r="H4" s="9" t="s">
        <v>77</v>
      </c>
      <c r="I4" s="9" t="s">
        <v>77</v>
      </c>
      <c r="J4" s="10">
        <v>0.25</v>
      </c>
      <c r="K4" s="9" t="s">
        <v>77</v>
      </c>
      <c r="L4" s="10">
        <v>0.28499999999999998</v>
      </c>
      <c r="M4" s="10">
        <v>0.6</v>
      </c>
      <c r="N4" s="10">
        <v>1</v>
      </c>
      <c r="O4" s="9" t="s">
        <v>77</v>
      </c>
      <c r="P4" s="10">
        <v>0.4</v>
      </c>
      <c r="Q4" s="10">
        <v>0.22220000000000001</v>
      </c>
      <c r="R4" s="10">
        <v>0.2</v>
      </c>
      <c r="S4" s="9" t="s">
        <v>77</v>
      </c>
      <c r="T4" s="10">
        <v>0.1429</v>
      </c>
      <c r="U4" s="9" t="s">
        <v>77</v>
      </c>
      <c r="V4" s="9">
        <f t="shared" ref="V4:V19" si="0">L4-B4</f>
        <v>0.15539999999999998</v>
      </c>
    </row>
    <row r="5" spans="1:22" x14ac:dyDescent="0.2">
      <c r="A5" s="13" t="s">
        <v>57</v>
      </c>
      <c r="B5" s="14">
        <v>0.22220000000000001</v>
      </c>
      <c r="C5" s="14">
        <v>0.16669999999999999</v>
      </c>
      <c r="D5" s="15" t="s">
        <v>77</v>
      </c>
      <c r="E5" s="15" t="s">
        <v>77</v>
      </c>
      <c r="F5" s="15" t="s">
        <v>77</v>
      </c>
      <c r="G5" s="14">
        <v>0.33329999999999999</v>
      </c>
      <c r="H5" s="15" t="s">
        <v>77</v>
      </c>
      <c r="I5" s="14">
        <v>1</v>
      </c>
      <c r="J5" s="14">
        <v>0.5</v>
      </c>
      <c r="K5" s="15" t="s">
        <v>77</v>
      </c>
      <c r="L5" s="14">
        <v>0.1787</v>
      </c>
      <c r="M5" s="14">
        <v>0.1</v>
      </c>
      <c r="N5" s="15" t="s">
        <v>77</v>
      </c>
      <c r="O5" s="15" t="s">
        <v>77</v>
      </c>
      <c r="P5" s="15" t="s">
        <v>77</v>
      </c>
      <c r="Q5" s="14">
        <v>0.22220000000000001</v>
      </c>
      <c r="R5" s="15" t="s">
        <v>77</v>
      </c>
      <c r="S5" s="14">
        <v>1</v>
      </c>
      <c r="T5" s="14">
        <v>0.28570000000000001</v>
      </c>
      <c r="U5" s="15" t="s">
        <v>77</v>
      </c>
      <c r="V5" s="15">
        <f t="shared" si="0"/>
        <v>-4.3500000000000011E-2</v>
      </c>
    </row>
    <row r="6" spans="1:22" x14ac:dyDescent="0.2">
      <c r="A6" s="12" t="s">
        <v>63</v>
      </c>
      <c r="B6" s="10">
        <v>0.1389</v>
      </c>
      <c r="C6" s="9" t="s">
        <v>77</v>
      </c>
      <c r="D6" s="10">
        <v>0.25</v>
      </c>
      <c r="E6" s="9" t="s">
        <v>77</v>
      </c>
      <c r="F6" s="9" t="s">
        <v>77</v>
      </c>
      <c r="G6" s="9" t="s">
        <v>77</v>
      </c>
      <c r="H6" s="10">
        <v>1</v>
      </c>
      <c r="I6" s="9" t="s">
        <v>77</v>
      </c>
      <c r="J6" s="9" t="s">
        <v>77</v>
      </c>
      <c r="K6" s="9" t="s">
        <v>77</v>
      </c>
      <c r="L6" s="10">
        <v>0.17780000000000001</v>
      </c>
      <c r="M6" s="9" t="s">
        <v>77</v>
      </c>
      <c r="N6" s="9" t="s">
        <v>77</v>
      </c>
      <c r="O6" s="10">
        <v>1</v>
      </c>
      <c r="P6" s="9" t="s">
        <v>77</v>
      </c>
      <c r="Q6" s="9" t="s">
        <v>77</v>
      </c>
      <c r="R6" s="10">
        <v>0.6</v>
      </c>
      <c r="S6" s="9" t="s">
        <v>77</v>
      </c>
      <c r="T6" s="9" t="s">
        <v>77</v>
      </c>
      <c r="U6" s="9" t="s">
        <v>77</v>
      </c>
      <c r="V6" s="9">
        <f t="shared" si="0"/>
        <v>3.8900000000000018E-2</v>
      </c>
    </row>
    <row r="7" spans="1:22" x14ac:dyDescent="0.2">
      <c r="A7" s="13" t="s">
        <v>56</v>
      </c>
      <c r="B7" s="14">
        <v>0.17899999999999999</v>
      </c>
      <c r="C7" s="14">
        <v>8.3299999999999999E-2</v>
      </c>
      <c r="D7" s="15" t="s">
        <v>77</v>
      </c>
      <c r="E7" s="15" t="s">
        <v>77</v>
      </c>
      <c r="F7" s="15" t="s">
        <v>77</v>
      </c>
      <c r="G7" s="15" t="s">
        <v>77</v>
      </c>
      <c r="H7" s="14">
        <v>0.5</v>
      </c>
      <c r="I7" s="14">
        <v>0.33329999999999999</v>
      </c>
      <c r="J7" s="14">
        <v>0.25</v>
      </c>
      <c r="K7" s="14">
        <v>0.44440000000000002</v>
      </c>
      <c r="L7" s="14">
        <v>0.1434</v>
      </c>
      <c r="M7" s="14">
        <v>0.1</v>
      </c>
      <c r="N7" s="15" t="s">
        <v>77</v>
      </c>
      <c r="O7" s="15" t="s">
        <v>77</v>
      </c>
      <c r="P7" s="15" t="s">
        <v>77</v>
      </c>
      <c r="Q7" s="15" t="s">
        <v>77</v>
      </c>
      <c r="R7" s="15" t="s">
        <v>77</v>
      </c>
      <c r="S7" s="14">
        <v>0.33329999999999999</v>
      </c>
      <c r="T7" s="14">
        <v>0.28570000000000001</v>
      </c>
      <c r="U7" s="14">
        <v>0.57140000000000002</v>
      </c>
      <c r="V7" s="15">
        <f t="shared" si="0"/>
        <v>-3.5599999999999993E-2</v>
      </c>
    </row>
    <row r="8" spans="1:22" x14ac:dyDescent="0.2">
      <c r="A8" s="12" t="s">
        <v>78</v>
      </c>
      <c r="B8" s="10">
        <v>4.0099999999999997E-2</v>
      </c>
      <c r="C8" s="9" t="s">
        <v>77</v>
      </c>
      <c r="D8" s="10">
        <v>0.25</v>
      </c>
      <c r="E8" s="9" t="s">
        <v>77</v>
      </c>
      <c r="F8" s="9" t="s">
        <v>77</v>
      </c>
      <c r="G8" s="9" t="s">
        <v>77</v>
      </c>
      <c r="H8" s="9" t="s">
        <v>77</v>
      </c>
      <c r="I8" s="9" t="s">
        <v>77</v>
      </c>
      <c r="J8" s="9" t="s">
        <v>77</v>
      </c>
      <c r="K8" s="10">
        <v>0.1111</v>
      </c>
      <c r="L8" s="10">
        <v>0.1429</v>
      </c>
      <c r="M8" s="9" t="s">
        <v>77</v>
      </c>
      <c r="N8" s="9" t="s">
        <v>77</v>
      </c>
      <c r="O8" s="10">
        <v>1</v>
      </c>
      <c r="P8" s="9" t="s">
        <v>77</v>
      </c>
      <c r="Q8" s="9" t="s">
        <v>77</v>
      </c>
      <c r="R8" s="9" t="s">
        <v>77</v>
      </c>
      <c r="S8" s="9" t="s">
        <v>77</v>
      </c>
      <c r="T8" s="9" t="s">
        <v>77</v>
      </c>
      <c r="U8" s="10">
        <v>0.28570000000000001</v>
      </c>
      <c r="V8" s="9">
        <f t="shared" si="0"/>
        <v>0.1028</v>
      </c>
    </row>
    <row r="9" spans="1:22" x14ac:dyDescent="0.2">
      <c r="A9" s="13" t="s">
        <v>58</v>
      </c>
      <c r="B9" s="14">
        <v>9.5699999999999993E-2</v>
      </c>
      <c r="C9" s="14">
        <v>8.3299999999999999E-2</v>
      </c>
      <c r="D9" s="15" t="s">
        <v>77</v>
      </c>
      <c r="E9" s="15" t="s">
        <v>77</v>
      </c>
      <c r="F9" s="15" t="s">
        <v>77</v>
      </c>
      <c r="G9" s="15" t="s">
        <v>77</v>
      </c>
      <c r="H9" s="15" t="s">
        <v>77</v>
      </c>
      <c r="I9" s="14">
        <v>0.33329999999999999</v>
      </c>
      <c r="J9" s="15" t="s">
        <v>77</v>
      </c>
      <c r="K9" s="14">
        <v>0.44440000000000002</v>
      </c>
      <c r="L9" s="14">
        <v>0.1298</v>
      </c>
      <c r="M9" s="15" t="s">
        <v>77</v>
      </c>
      <c r="N9" s="15" t="s">
        <v>77</v>
      </c>
      <c r="O9" s="15" t="s">
        <v>77</v>
      </c>
      <c r="P9" s="15" t="s">
        <v>77</v>
      </c>
      <c r="Q9" s="14">
        <v>0.1111</v>
      </c>
      <c r="R9" s="14">
        <v>0.2</v>
      </c>
      <c r="S9" s="15" t="s">
        <v>77</v>
      </c>
      <c r="T9" s="14">
        <v>0.28570000000000001</v>
      </c>
      <c r="U9" s="14">
        <v>0.57140000000000002</v>
      </c>
      <c r="V9" s="15">
        <f t="shared" si="0"/>
        <v>3.4100000000000005E-2</v>
      </c>
    </row>
    <row r="10" spans="1:22" x14ac:dyDescent="0.2">
      <c r="A10" s="12" t="s">
        <v>61</v>
      </c>
      <c r="B10" s="10">
        <v>0.1142</v>
      </c>
      <c r="C10" s="10">
        <v>8.3299999999999999E-2</v>
      </c>
      <c r="D10" s="9" t="s">
        <v>77</v>
      </c>
      <c r="E10" s="9" t="s">
        <v>77</v>
      </c>
      <c r="F10" s="9" t="s">
        <v>77</v>
      </c>
      <c r="G10" s="10">
        <v>0.16669999999999999</v>
      </c>
      <c r="H10" s="9" t="s">
        <v>77</v>
      </c>
      <c r="I10" s="10">
        <v>0.33329999999999999</v>
      </c>
      <c r="J10" s="9" t="s">
        <v>77</v>
      </c>
      <c r="K10" s="10">
        <v>0.44440000000000002</v>
      </c>
      <c r="L10" s="10">
        <v>0.124</v>
      </c>
      <c r="M10" s="10">
        <v>0.1</v>
      </c>
      <c r="N10" s="9" t="s">
        <v>77</v>
      </c>
      <c r="O10" s="9" t="s">
        <v>77</v>
      </c>
      <c r="P10" s="9" t="s">
        <v>77</v>
      </c>
      <c r="Q10" s="10">
        <v>0.1111</v>
      </c>
      <c r="R10" s="9" t="s">
        <v>77</v>
      </c>
      <c r="S10" s="10">
        <v>0.33329999999999999</v>
      </c>
      <c r="T10" s="9" t="s">
        <v>77</v>
      </c>
      <c r="U10" s="10">
        <v>0.57140000000000002</v>
      </c>
      <c r="V10" s="9">
        <f t="shared" si="0"/>
        <v>9.8000000000000032E-3</v>
      </c>
    </row>
    <row r="11" spans="1:22" x14ac:dyDescent="0.2">
      <c r="A11" s="13" t="s">
        <v>79</v>
      </c>
      <c r="B11" s="14">
        <v>5.5599999999999997E-2</v>
      </c>
      <c r="C11" s="15" t="s">
        <v>77</v>
      </c>
      <c r="D11" s="14">
        <v>0.5</v>
      </c>
      <c r="E11" s="15" t="s">
        <v>77</v>
      </c>
      <c r="F11" s="15" t="s">
        <v>77</v>
      </c>
      <c r="G11" s="15" t="s">
        <v>77</v>
      </c>
      <c r="H11" s="15" t="s">
        <v>77</v>
      </c>
      <c r="I11" s="15" t="s">
        <v>77</v>
      </c>
      <c r="J11" s="15" t="s">
        <v>77</v>
      </c>
      <c r="K11" s="15" t="s">
        <v>77</v>
      </c>
      <c r="L11" s="14">
        <v>0.1235</v>
      </c>
      <c r="M11" s="15" t="s">
        <v>77</v>
      </c>
      <c r="N11" s="14">
        <v>1</v>
      </c>
      <c r="O11" s="15" t="s">
        <v>77</v>
      </c>
      <c r="P11" s="15" t="s">
        <v>77</v>
      </c>
      <c r="Q11" s="14">
        <v>0.1111</v>
      </c>
      <c r="R11" s="15" t="s">
        <v>77</v>
      </c>
      <c r="S11" s="15" t="s">
        <v>77</v>
      </c>
      <c r="T11" s="15" t="s">
        <v>77</v>
      </c>
      <c r="U11" s="15" t="s">
        <v>77</v>
      </c>
      <c r="V11" s="15">
        <f t="shared" si="0"/>
        <v>6.7900000000000002E-2</v>
      </c>
    </row>
    <row r="12" spans="1:22" x14ac:dyDescent="0.2">
      <c r="A12" s="12" t="s">
        <v>62</v>
      </c>
      <c r="B12" s="10">
        <v>5.8599999999999999E-2</v>
      </c>
      <c r="C12" s="10">
        <v>8.3299999999999999E-2</v>
      </c>
      <c r="D12" s="9" t="s">
        <v>77</v>
      </c>
      <c r="E12" s="9" t="s">
        <v>77</v>
      </c>
      <c r="F12" s="9" t="s">
        <v>77</v>
      </c>
      <c r="G12" s="9" t="s">
        <v>77</v>
      </c>
      <c r="H12" s="9" t="s">
        <v>77</v>
      </c>
      <c r="I12" s="9" t="s">
        <v>77</v>
      </c>
      <c r="J12" s="9" t="s">
        <v>77</v>
      </c>
      <c r="K12" s="10">
        <v>0.44440000000000002</v>
      </c>
      <c r="L12" s="10">
        <v>0.1116</v>
      </c>
      <c r="M12" s="10">
        <v>0.1</v>
      </c>
      <c r="N12" s="9" t="s">
        <v>77</v>
      </c>
      <c r="O12" s="9" t="s">
        <v>77</v>
      </c>
      <c r="P12" s="9" t="s">
        <v>77</v>
      </c>
      <c r="Q12" s="9" t="s">
        <v>77</v>
      </c>
      <c r="R12" s="9" t="s">
        <v>77</v>
      </c>
      <c r="S12" s="10">
        <v>0.33329999999999999</v>
      </c>
      <c r="T12" s="9" t="s">
        <v>77</v>
      </c>
      <c r="U12" s="10">
        <v>0.57140000000000002</v>
      </c>
      <c r="V12" s="9">
        <f t="shared" si="0"/>
        <v>5.3000000000000005E-2</v>
      </c>
    </row>
    <row r="13" spans="1:22" x14ac:dyDescent="0.2">
      <c r="A13" s="13" t="s">
        <v>59</v>
      </c>
      <c r="B13" s="14">
        <v>8.3299999999999999E-2</v>
      </c>
      <c r="C13" s="14">
        <v>0.33329999999999999</v>
      </c>
      <c r="D13" s="15" t="s">
        <v>77</v>
      </c>
      <c r="E13" s="15" t="s">
        <v>77</v>
      </c>
      <c r="F13" s="14">
        <v>0.25</v>
      </c>
      <c r="G13" s="14">
        <v>0.16669999999999999</v>
      </c>
      <c r="H13" s="15" t="s">
        <v>77</v>
      </c>
      <c r="I13" s="15" t="s">
        <v>77</v>
      </c>
      <c r="J13" s="15" t="s">
        <v>77</v>
      </c>
      <c r="K13" s="15" t="s">
        <v>77</v>
      </c>
      <c r="L13" s="14">
        <v>9.4899999999999998E-2</v>
      </c>
      <c r="M13" s="14">
        <v>0.4</v>
      </c>
      <c r="N13" s="15" t="s">
        <v>77</v>
      </c>
      <c r="O13" s="15" t="s">
        <v>77</v>
      </c>
      <c r="P13" s="14">
        <v>0.2</v>
      </c>
      <c r="Q13" s="14">
        <v>0.1111</v>
      </c>
      <c r="R13" s="15" t="s">
        <v>77</v>
      </c>
      <c r="S13" s="15" t="s">
        <v>77</v>
      </c>
      <c r="T13" s="15" t="s">
        <v>77</v>
      </c>
      <c r="U13" s="14">
        <v>0.1429</v>
      </c>
      <c r="V13" s="15">
        <f t="shared" si="0"/>
        <v>1.1599999999999999E-2</v>
      </c>
    </row>
    <row r="14" spans="1:22" x14ac:dyDescent="0.2">
      <c r="A14" s="12" t="s">
        <v>60</v>
      </c>
      <c r="B14" s="10">
        <v>0.17280000000000001</v>
      </c>
      <c r="C14" s="10">
        <v>0.25</v>
      </c>
      <c r="D14" s="10">
        <v>0.25</v>
      </c>
      <c r="E14" s="9" t="s">
        <v>77</v>
      </c>
      <c r="F14" s="9" t="s">
        <v>77</v>
      </c>
      <c r="G14" s="10">
        <v>0.33329999999999999</v>
      </c>
      <c r="H14" s="10">
        <v>0.5</v>
      </c>
      <c r="I14" s="9" t="s">
        <v>77</v>
      </c>
      <c r="J14" s="9" t="s">
        <v>77</v>
      </c>
      <c r="K14" s="10">
        <v>0.22220000000000001</v>
      </c>
      <c r="L14" s="10">
        <v>8.1500000000000003E-2</v>
      </c>
      <c r="M14" s="10">
        <v>0.2</v>
      </c>
      <c r="N14" s="9" t="s">
        <v>77</v>
      </c>
      <c r="O14" s="9" t="s">
        <v>77</v>
      </c>
      <c r="P14" s="9" t="s">
        <v>77</v>
      </c>
      <c r="Q14" s="10">
        <v>0.33329999999999999</v>
      </c>
      <c r="R14" s="10">
        <v>0.2</v>
      </c>
      <c r="S14" s="9" t="s">
        <v>77</v>
      </c>
      <c r="T14" s="9" t="s">
        <v>77</v>
      </c>
      <c r="U14" s="9" t="s">
        <v>77</v>
      </c>
      <c r="V14" s="9">
        <f t="shared" si="0"/>
        <v>-9.1300000000000006E-2</v>
      </c>
    </row>
    <row r="15" spans="1:22" x14ac:dyDescent="0.2">
      <c r="A15" s="13" t="s">
        <v>65</v>
      </c>
      <c r="B15" s="14">
        <v>4.9399999999999999E-2</v>
      </c>
      <c r="C15" s="14">
        <v>8.3299999999999999E-2</v>
      </c>
      <c r="D15" s="15" t="s">
        <v>77</v>
      </c>
      <c r="E15" s="15" t="s">
        <v>77</v>
      </c>
      <c r="F15" s="14">
        <v>0.25</v>
      </c>
      <c r="G15" s="15" t="s">
        <v>77</v>
      </c>
      <c r="H15" s="15" t="s">
        <v>77</v>
      </c>
      <c r="I15" s="15" t="s">
        <v>77</v>
      </c>
      <c r="J15" s="15" t="s">
        <v>77</v>
      </c>
      <c r="K15" s="14">
        <v>0.1111</v>
      </c>
      <c r="L15" s="14">
        <v>7.1400000000000005E-2</v>
      </c>
      <c r="M15" s="14">
        <v>0.1</v>
      </c>
      <c r="N15" s="15" t="s">
        <v>77</v>
      </c>
      <c r="O15" s="15" t="s">
        <v>77</v>
      </c>
      <c r="P15" s="14">
        <v>0.2</v>
      </c>
      <c r="Q15" s="15" t="s">
        <v>77</v>
      </c>
      <c r="R15" s="14">
        <v>0.2</v>
      </c>
      <c r="S15" s="15" t="s">
        <v>77</v>
      </c>
      <c r="T15" s="15" t="s">
        <v>77</v>
      </c>
      <c r="U15" s="14">
        <v>0.1429</v>
      </c>
      <c r="V15" s="15">
        <f t="shared" si="0"/>
        <v>2.2000000000000006E-2</v>
      </c>
    </row>
    <row r="16" spans="1:22" x14ac:dyDescent="0.2">
      <c r="A16" s="12" t="s">
        <v>64</v>
      </c>
      <c r="B16" s="10">
        <v>4.9399999999999999E-2</v>
      </c>
      <c r="C16" s="9" t="s">
        <v>77</v>
      </c>
      <c r="D16" s="9" t="s">
        <v>77</v>
      </c>
      <c r="E16" s="9" t="s">
        <v>77</v>
      </c>
      <c r="F16" s="9" t="s">
        <v>77</v>
      </c>
      <c r="G16" s="9" t="s">
        <v>77</v>
      </c>
      <c r="H16" s="9" t="s">
        <v>77</v>
      </c>
      <c r="I16" s="9" t="s">
        <v>77</v>
      </c>
      <c r="J16" s="9" t="s">
        <v>77</v>
      </c>
      <c r="K16" s="10">
        <v>0.44440000000000002</v>
      </c>
      <c r="L16" s="10">
        <v>6.3500000000000001E-2</v>
      </c>
      <c r="M16" s="9" t="s">
        <v>77</v>
      </c>
      <c r="N16" s="9" t="s">
        <v>77</v>
      </c>
      <c r="O16" s="9" t="s">
        <v>77</v>
      </c>
      <c r="P16" s="9" t="s">
        <v>77</v>
      </c>
      <c r="Q16" s="9" t="s">
        <v>77</v>
      </c>
      <c r="R16" s="9" t="s">
        <v>77</v>
      </c>
      <c r="S16" s="9" t="s">
        <v>77</v>
      </c>
      <c r="T16" s="9" t="s">
        <v>77</v>
      </c>
      <c r="U16" s="10">
        <v>0.57140000000000002</v>
      </c>
      <c r="V16" s="9">
        <f t="shared" si="0"/>
        <v>1.4100000000000001E-2</v>
      </c>
    </row>
    <row r="17" spans="1:22" x14ac:dyDescent="0.2">
      <c r="A17" s="13" t="s">
        <v>80</v>
      </c>
      <c r="B17" s="14">
        <v>6.7900000000000002E-2</v>
      </c>
      <c r="C17" s="14">
        <v>8.3299999999999999E-2</v>
      </c>
      <c r="D17" s="14">
        <v>0.25</v>
      </c>
      <c r="E17" s="15" t="s">
        <v>77</v>
      </c>
      <c r="F17" s="15" t="s">
        <v>77</v>
      </c>
      <c r="G17" s="14">
        <v>0.16669999999999999</v>
      </c>
      <c r="H17" s="15" t="s">
        <v>77</v>
      </c>
      <c r="I17" s="15" t="s">
        <v>77</v>
      </c>
      <c r="J17" s="15" t="s">
        <v>77</v>
      </c>
      <c r="K17" s="14">
        <v>0.1111</v>
      </c>
      <c r="L17" s="14">
        <v>4.5699999999999998E-2</v>
      </c>
      <c r="M17" s="14">
        <v>0.1</v>
      </c>
      <c r="N17" s="15" t="s">
        <v>77</v>
      </c>
      <c r="O17" s="15" t="s">
        <v>77</v>
      </c>
      <c r="P17" s="15" t="s">
        <v>77</v>
      </c>
      <c r="Q17" s="14">
        <v>0.1111</v>
      </c>
      <c r="R17" s="14">
        <v>0.2</v>
      </c>
      <c r="S17" s="15" t="s">
        <v>77</v>
      </c>
      <c r="T17" s="15" t="s">
        <v>77</v>
      </c>
      <c r="U17" s="15" t="s">
        <v>77</v>
      </c>
      <c r="V17" s="15">
        <f t="shared" si="0"/>
        <v>-2.2200000000000004E-2</v>
      </c>
    </row>
    <row r="18" spans="1:22" x14ac:dyDescent="0.2">
      <c r="A18" s="12" t="s">
        <v>81</v>
      </c>
      <c r="B18" s="10">
        <v>5.5599999999999997E-2</v>
      </c>
      <c r="C18" s="9" t="s">
        <v>77</v>
      </c>
      <c r="D18" s="9" t="s">
        <v>77</v>
      </c>
      <c r="E18" s="9" t="s">
        <v>77</v>
      </c>
      <c r="F18" s="10">
        <v>0.5</v>
      </c>
      <c r="G18" s="9" t="s">
        <v>77</v>
      </c>
      <c r="H18" s="9" t="s">
        <v>77</v>
      </c>
      <c r="I18" s="9" t="s">
        <v>77</v>
      </c>
      <c r="J18" s="9" t="s">
        <v>77</v>
      </c>
      <c r="K18" s="9" t="s">
        <v>77</v>
      </c>
      <c r="L18" s="10">
        <v>4.4400000000000002E-2</v>
      </c>
      <c r="M18" s="9" t="s">
        <v>77</v>
      </c>
      <c r="N18" s="9" t="s">
        <v>77</v>
      </c>
      <c r="O18" s="9" t="s">
        <v>77</v>
      </c>
      <c r="P18" s="10">
        <v>0.4</v>
      </c>
      <c r="Q18" s="9" t="s">
        <v>77</v>
      </c>
      <c r="R18" s="9" t="s">
        <v>77</v>
      </c>
      <c r="S18" s="9" t="s">
        <v>77</v>
      </c>
      <c r="T18" s="9" t="s">
        <v>77</v>
      </c>
      <c r="U18" s="9" t="s">
        <v>77</v>
      </c>
      <c r="V18" s="9">
        <f t="shared" si="0"/>
        <v>-1.1199999999999995E-2</v>
      </c>
    </row>
    <row r="19" spans="1:22" x14ac:dyDescent="0.2">
      <c r="A19" s="13" t="s">
        <v>66</v>
      </c>
      <c r="B19" s="14">
        <v>6.4799999999999996E-2</v>
      </c>
      <c r="C19" s="14">
        <v>8.3299999999999999E-2</v>
      </c>
      <c r="D19" s="15" t="s">
        <v>77</v>
      </c>
      <c r="E19" s="15" t="s">
        <v>77</v>
      </c>
      <c r="F19" s="15" t="s">
        <v>77</v>
      </c>
      <c r="G19" s="15" t="s">
        <v>77</v>
      </c>
      <c r="H19" s="15" t="s">
        <v>77</v>
      </c>
      <c r="I19" s="15" t="s">
        <v>77</v>
      </c>
      <c r="J19" s="14">
        <v>0.5</v>
      </c>
      <c r="K19" s="15" t="s">
        <v>77</v>
      </c>
      <c r="L19" s="14">
        <v>4.2900000000000001E-2</v>
      </c>
      <c r="M19" s="14">
        <v>0.1</v>
      </c>
      <c r="N19" s="15" t="s">
        <v>77</v>
      </c>
      <c r="O19" s="15" t="s">
        <v>77</v>
      </c>
      <c r="P19" s="15" t="s">
        <v>77</v>
      </c>
      <c r="Q19" s="15" t="s">
        <v>77</v>
      </c>
      <c r="R19" s="15" t="s">
        <v>77</v>
      </c>
      <c r="S19" s="15" t="s">
        <v>77</v>
      </c>
      <c r="T19" s="14">
        <v>0.28570000000000001</v>
      </c>
      <c r="U19" s="15" t="s">
        <v>77</v>
      </c>
      <c r="V19" s="15">
        <f t="shared" si="0"/>
        <v>-2.1899999999999996E-2</v>
      </c>
    </row>
    <row r="20" spans="1:22" x14ac:dyDescent="0.2">
      <c r="A20" s="12" t="s">
        <v>82</v>
      </c>
      <c r="B20" s="9" t="s">
        <v>77</v>
      </c>
      <c r="C20" s="9" t="s">
        <v>77</v>
      </c>
      <c r="D20" s="9" t="s">
        <v>77</v>
      </c>
      <c r="E20" s="9" t="s">
        <v>77</v>
      </c>
      <c r="F20" s="9" t="s">
        <v>77</v>
      </c>
      <c r="G20" s="9" t="s">
        <v>77</v>
      </c>
      <c r="H20" s="9" t="s">
        <v>77</v>
      </c>
      <c r="I20" s="9" t="s">
        <v>77</v>
      </c>
      <c r="J20" s="9" t="s">
        <v>77</v>
      </c>
      <c r="K20" s="9" t="s">
        <v>77</v>
      </c>
      <c r="L20" s="10">
        <v>3.1699999999999999E-2</v>
      </c>
      <c r="M20" s="9" t="s">
        <v>77</v>
      </c>
      <c r="N20" s="9" t="s">
        <v>77</v>
      </c>
      <c r="O20" s="9" t="s">
        <v>77</v>
      </c>
      <c r="P20" s="9" t="s">
        <v>77</v>
      </c>
      <c r="Q20" s="9" t="s">
        <v>77</v>
      </c>
      <c r="R20" s="9" t="s">
        <v>77</v>
      </c>
      <c r="S20" s="9" t="s">
        <v>77</v>
      </c>
      <c r="T20" s="10">
        <v>0.28570000000000001</v>
      </c>
      <c r="U20" s="9" t="s">
        <v>77</v>
      </c>
      <c r="V20" s="9"/>
    </row>
    <row r="21" spans="1:22" x14ac:dyDescent="0.2">
      <c r="A21" s="13" t="s">
        <v>83</v>
      </c>
      <c r="B21" s="14">
        <v>5.5599999999999997E-2</v>
      </c>
      <c r="C21" s="15" t="s">
        <v>77</v>
      </c>
      <c r="D21" s="15" t="s">
        <v>77</v>
      </c>
      <c r="E21" s="15" t="s">
        <v>77</v>
      </c>
      <c r="F21" s="15" t="s">
        <v>77</v>
      </c>
      <c r="G21" s="15" t="s">
        <v>77</v>
      </c>
      <c r="H21" s="15" t="s">
        <v>77</v>
      </c>
      <c r="I21" s="15" t="s">
        <v>77</v>
      </c>
      <c r="J21" s="14">
        <v>0.5</v>
      </c>
      <c r="K21" s="15" t="s">
        <v>77</v>
      </c>
      <c r="L21" s="14">
        <v>3.1699999999999999E-2</v>
      </c>
      <c r="M21" s="15" t="s">
        <v>77</v>
      </c>
      <c r="N21" s="15" t="s">
        <v>77</v>
      </c>
      <c r="O21" s="15" t="s">
        <v>77</v>
      </c>
      <c r="P21" s="15" t="s">
        <v>77</v>
      </c>
      <c r="Q21" s="15" t="s">
        <v>77</v>
      </c>
      <c r="R21" s="15" t="s">
        <v>77</v>
      </c>
      <c r="S21" s="15" t="s">
        <v>77</v>
      </c>
      <c r="T21" s="14">
        <v>0.28570000000000001</v>
      </c>
      <c r="U21" s="15" t="s">
        <v>77</v>
      </c>
      <c r="V21" s="15">
        <f>L21-B21</f>
        <v>-2.3899999999999998E-2</v>
      </c>
    </row>
    <row r="22" spans="1:22" x14ac:dyDescent="0.2">
      <c r="A22" s="12" t="s">
        <v>84</v>
      </c>
      <c r="B22" s="10">
        <v>4.0099999999999997E-2</v>
      </c>
      <c r="C22" s="10">
        <v>8.3299999999999999E-2</v>
      </c>
      <c r="D22" s="9" t="s">
        <v>77</v>
      </c>
      <c r="E22" s="9" t="s">
        <v>77</v>
      </c>
      <c r="F22" s="9" t="s">
        <v>77</v>
      </c>
      <c r="G22" s="10">
        <v>0.16669999999999999</v>
      </c>
      <c r="H22" s="9" t="s">
        <v>77</v>
      </c>
      <c r="I22" s="9" t="s">
        <v>77</v>
      </c>
      <c r="J22" s="9" t="s">
        <v>77</v>
      </c>
      <c r="K22" s="10">
        <v>0.1111</v>
      </c>
      <c r="L22" s="10">
        <v>2.35E-2</v>
      </c>
      <c r="M22" s="10">
        <v>0.1</v>
      </c>
      <c r="N22" s="9" t="s">
        <v>77</v>
      </c>
      <c r="O22" s="9" t="s">
        <v>77</v>
      </c>
      <c r="P22" s="9" t="s">
        <v>77</v>
      </c>
      <c r="Q22" s="10">
        <v>0.1111</v>
      </c>
      <c r="R22" s="9" t="s">
        <v>77</v>
      </c>
      <c r="S22" s="9" t="s">
        <v>77</v>
      </c>
      <c r="T22" s="9" t="s">
        <v>77</v>
      </c>
      <c r="U22" s="9" t="s">
        <v>77</v>
      </c>
      <c r="V22" s="9">
        <f>L22-B22</f>
        <v>-1.6599999999999997E-2</v>
      </c>
    </row>
    <row r="23" spans="1:22" x14ac:dyDescent="0.2">
      <c r="A23" s="13" t="s">
        <v>85</v>
      </c>
      <c r="B23" s="14">
        <v>5.5599999999999997E-2</v>
      </c>
      <c r="C23" s="14">
        <v>0.25</v>
      </c>
      <c r="D23" s="15" t="s">
        <v>77</v>
      </c>
      <c r="E23" s="15" t="s">
        <v>77</v>
      </c>
      <c r="F23" s="14">
        <v>0.25</v>
      </c>
      <c r="G23" s="15" t="s">
        <v>77</v>
      </c>
      <c r="H23" s="15" t="s">
        <v>77</v>
      </c>
      <c r="I23" s="15" t="s">
        <v>77</v>
      </c>
      <c r="J23" s="15" t="s">
        <v>77</v>
      </c>
      <c r="K23" s="15" t="s">
        <v>77</v>
      </c>
      <c r="L23" s="14">
        <v>2.2200000000000001E-2</v>
      </c>
      <c r="M23" s="15" t="s">
        <v>77</v>
      </c>
      <c r="N23" s="15" t="s">
        <v>77</v>
      </c>
      <c r="O23" s="15" t="s">
        <v>77</v>
      </c>
      <c r="P23" s="14">
        <v>0.2</v>
      </c>
      <c r="Q23" s="15" t="s">
        <v>77</v>
      </c>
      <c r="R23" s="15" t="s">
        <v>77</v>
      </c>
      <c r="S23" s="15" t="s">
        <v>77</v>
      </c>
      <c r="T23" s="15" t="s">
        <v>77</v>
      </c>
      <c r="U23" s="15" t="s">
        <v>77</v>
      </c>
      <c r="V23" s="15">
        <f>L23-B23</f>
        <v>-3.3399999999999999E-2</v>
      </c>
    </row>
    <row r="24" spans="1:22" x14ac:dyDescent="0.2">
      <c r="A24" s="12" t="s">
        <v>86</v>
      </c>
      <c r="B24" s="9" t="s">
        <v>77</v>
      </c>
      <c r="C24" s="9" t="s">
        <v>77</v>
      </c>
      <c r="D24" s="9" t="s">
        <v>77</v>
      </c>
      <c r="E24" s="9" t="s">
        <v>77</v>
      </c>
      <c r="F24" s="9" t="s">
        <v>77</v>
      </c>
      <c r="G24" s="9" t="s">
        <v>77</v>
      </c>
      <c r="H24" s="9" t="s">
        <v>77</v>
      </c>
      <c r="I24" s="9" t="s">
        <v>77</v>
      </c>
      <c r="J24" s="9" t="s">
        <v>77</v>
      </c>
      <c r="K24" s="9" t="s">
        <v>77</v>
      </c>
      <c r="L24" s="10">
        <v>2.2200000000000001E-2</v>
      </c>
      <c r="M24" s="9" t="s">
        <v>77</v>
      </c>
      <c r="N24" s="9" t="s">
        <v>77</v>
      </c>
      <c r="O24" s="9" t="s">
        <v>77</v>
      </c>
      <c r="P24" s="10">
        <v>0.2</v>
      </c>
      <c r="Q24" s="9" t="s">
        <v>77</v>
      </c>
      <c r="R24" s="9" t="s">
        <v>77</v>
      </c>
      <c r="S24" s="9" t="s">
        <v>77</v>
      </c>
      <c r="T24" s="9" t="s">
        <v>77</v>
      </c>
      <c r="U24" s="9" t="s">
        <v>77</v>
      </c>
      <c r="V24" s="9"/>
    </row>
    <row r="25" spans="1:22" x14ac:dyDescent="0.2">
      <c r="A25" s="13" t="s">
        <v>87</v>
      </c>
      <c r="B25" s="15" t="s">
        <v>77</v>
      </c>
      <c r="C25" s="15" t="s">
        <v>77</v>
      </c>
      <c r="D25" s="15" t="s">
        <v>77</v>
      </c>
      <c r="E25" s="15" t="s">
        <v>77</v>
      </c>
      <c r="F25" s="15" t="s">
        <v>77</v>
      </c>
      <c r="G25" s="15" t="s">
        <v>77</v>
      </c>
      <c r="H25" s="15" t="s">
        <v>77</v>
      </c>
      <c r="I25" s="15" t="s">
        <v>77</v>
      </c>
      <c r="J25" s="15" t="s">
        <v>77</v>
      </c>
      <c r="K25" s="15" t="s">
        <v>77</v>
      </c>
      <c r="L25" s="14">
        <v>1.5900000000000001E-2</v>
      </c>
      <c r="M25" s="15" t="s">
        <v>77</v>
      </c>
      <c r="N25" s="15" t="s">
        <v>77</v>
      </c>
      <c r="O25" s="15" t="s">
        <v>77</v>
      </c>
      <c r="P25" s="15" t="s">
        <v>77</v>
      </c>
      <c r="Q25" s="15" t="s">
        <v>77</v>
      </c>
      <c r="R25" s="15" t="s">
        <v>77</v>
      </c>
      <c r="S25" s="15" t="s">
        <v>77</v>
      </c>
      <c r="T25" s="14">
        <v>0.1429</v>
      </c>
      <c r="U25" s="15" t="s">
        <v>77</v>
      </c>
      <c r="V25" s="15"/>
    </row>
    <row r="26" spans="1:22" x14ac:dyDescent="0.2">
      <c r="A26" s="12" t="s">
        <v>88</v>
      </c>
      <c r="B26" s="9" t="s">
        <v>77</v>
      </c>
      <c r="C26" s="9" t="s">
        <v>77</v>
      </c>
      <c r="D26" s="9" t="s">
        <v>77</v>
      </c>
      <c r="E26" s="9" t="s">
        <v>77</v>
      </c>
      <c r="F26" s="9" t="s">
        <v>77</v>
      </c>
      <c r="G26" s="9" t="s">
        <v>77</v>
      </c>
      <c r="H26" s="9" t="s">
        <v>77</v>
      </c>
      <c r="I26" s="9" t="s">
        <v>77</v>
      </c>
      <c r="J26" s="9" t="s">
        <v>77</v>
      </c>
      <c r="K26" s="9" t="s">
        <v>77</v>
      </c>
      <c r="L26" s="10">
        <v>1.23E-2</v>
      </c>
      <c r="M26" s="9" t="s">
        <v>77</v>
      </c>
      <c r="N26" s="9" t="s">
        <v>77</v>
      </c>
      <c r="O26" s="9" t="s">
        <v>77</v>
      </c>
      <c r="P26" s="9" t="s">
        <v>77</v>
      </c>
      <c r="Q26" s="10">
        <v>0.1111</v>
      </c>
      <c r="R26" s="9" t="s">
        <v>77</v>
      </c>
      <c r="S26" s="9" t="s">
        <v>77</v>
      </c>
      <c r="T26" s="9" t="s">
        <v>77</v>
      </c>
      <c r="U26" s="9" t="s">
        <v>77</v>
      </c>
      <c r="V26" s="9"/>
    </row>
    <row r="27" spans="1:22" x14ac:dyDescent="0.2">
      <c r="A27" s="11" t="s">
        <v>118</v>
      </c>
    </row>
  </sheetData>
  <mergeCells count="3">
    <mergeCell ref="A1:V1"/>
    <mergeCell ref="B2:K2"/>
    <mergeCell ref="L2:U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V1"/>
    </sheetView>
  </sheetViews>
  <sheetFormatPr baseColWidth="10" defaultColWidth="8.6640625" defaultRowHeight="15" x14ac:dyDescent="0.2"/>
  <cols>
    <col min="1" max="1" width="22" customWidth="1"/>
    <col min="2" max="22" width="10" customWidth="1"/>
  </cols>
  <sheetData>
    <row r="1" spans="1:22" ht="24" customHeight="1" x14ac:dyDescent="0.2">
      <c r="A1" s="3" t="s">
        <v>119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">
      <c r="A2" s="7"/>
      <c r="B2" s="1" t="s">
        <v>69</v>
      </c>
      <c r="C2" s="1"/>
      <c r="D2" s="1"/>
      <c r="E2" s="1"/>
      <c r="F2" s="1"/>
      <c r="G2" s="1"/>
      <c r="H2" s="1"/>
      <c r="I2" s="1"/>
      <c r="J2" s="1"/>
      <c r="K2" s="1"/>
      <c r="L2" s="1" t="s">
        <v>70</v>
      </c>
      <c r="M2" s="1"/>
      <c r="N2" s="1"/>
      <c r="O2" s="1"/>
      <c r="P2" s="1"/>
      <c r="Q2" s="1"/>
      <c r="R2" s="1"/>
      <c r="S2" s="1"/>
      <c r="T2" s="1"/>
      <c r="U2" s="1"/>
      <c r="V2" s="7"/>
    </row>
    <row r="3" spans="1:22" x14ac:dyDescent="0.2">
      <c r="A3" s="7" t="s">
        <v>71</v>
      </c>
      <c r="B3" s="7" t="s">
        <v>72</v>
      </c>
      <c r="C3" s="7" t="s">
        <v>50</v>
      </c>
      <c r="D3" s="7" t="s">
        <v>52</v>
      </c>
      <c r="E3" s="7" t="s">
        <v>49</v>
      </c>
      <c r="F3" s="7" t="s">
        <v>53</v>
      </c>
      <c r="G3" s="7" t="s">
        <v>48</v>
      </c>
      <c r="H3" s="7" t="s">
        <v>46</v>
      </c>
      <c r="I3" s="7" t="s">
        <v>51</v>
      </c>
      <c r="J3" s="7" t="s">
        <v>47</v>
      </c>
      <c r="K3" s="7" t="s">
        <v>45</v>
      </c>
      <c r="L3" s="7" t="s">
        <v>72</v>
      </c>
      <c r="M3" s="7" t="s">
        <v>50</v>
      </c>
      <c r="N3" s="7" t="s">
        <v>52</v>
      </c>
      <c r="O3" s="7" t="s">
        <v>49</v>
      </c>
      <c r="P3" s="7" t="s">
        <v>53</v>
      </c>
      <c r="Q3" s="7" t="s">
        <v>48</v>
      </c>
      <c r="R3" s="7" t="s">
        <v>46</v>
      </c>
      <c r="S3" s="7" t="s">
        <v>51</v>
      </c>
      <c r="T3" s="7" t="s">
        <v>47</v>
      </c>
      <c r="U3" s="7" t="s">
        <v>45</v>
      </c>
      <c r="V3" s="7" t="s">
        <v>76</v>
      </c>
    </row>
    <row r="4" spans="1:22" x14ac:dyDescent="0.2">
      <c r="A4" s="12" t="s">
        <v>55</v>
      </c>
      <c r="B4" s="10">
        <v>0.30769999999999997</v>
      </c>
      <c r="C4" s="10">
        <v>0.33329999999999999</v>
      </c>
      <c r="D4" s="9" t="s">
        <v>77</v>
      </c>
      <c r="E4" s="9" t="s">
        <v>77</v>
      </c>
      <c r="F4" s="10">
        <v>0.25</v>
      </c>
      <c r="G4" s="10">
        <v>0.33329999999999999</v>
      </c>
      <c r="H4" s="9" t="s">
        <v>77</v>
      </c>
      <c r="I4" s="9" t="s">
        <v>77</v>
      </c>
      <c r="J4" s="10">
        <v>0.25</v>
      </c>
      <c r="K4" s="9" t="s">
        <v>77</v>
      </c>
      <c r="L4" s="10">
        <v>0.35139999999999999</v>
      </c>
      <c r="M4" s="10">
        <v>0.6</v>
      </c>
      <c r="N4" s="10">
        <v>1</v>
      </c>
      <c r="O4" s="9" t="s">
        <v>77</v>
      </c>
      <c r="P4" s="10">
        <v>0.4</v>
      </c>
      <c r="Q4" s="10">
        <v>0.22220000000000001</v>
      </c>
      <c r="R4" s="10">
        <v>0.2</v>
      </c>
      <c r="S4" s="9" t="s">
        <v>77</v>
      </c>
      <c r="T4" s="10">
        <v>0.1429</v>
      </c>
      <c r="U4" s="9" t="s">
        <v>77</v>
      </c>
      <c r="V4" s="9">
        <f t="shared" ref="V4:V19" si="0">L4-B4</f>
        <v>4.3700000000000017E-2</v>
      </c>
    </row>
    <row r="5" spans="1:22" x14ac:dyDescent="0.2">
      <c r="A5" s="13" t="s">
        <v>57</v>
      </c>
      <c r="B5" s="14">
        <v>0.36</v>
      </c>
      <c r="C5" s="14">
        <v>0.16669999999999999</v>
      </c>
      <c r="D5" s="15" t="s">
        <v>77</v>
      </c>
      <c r="E5" s="15" t="s">
        <v>77</v>
      </c>
      <c r="F5" s="15" t="s">
        <v>77</v>
      </c>
      <c r="G5" s="14">
        <v>0.33329999999999999</v>
      </c>
      <c r="H5" s="15" t="s">
        <v>77</v>
      </c>
      <c r="I5" s="14">
        <v>1</v>
      </c>
      <c r="J5" s="14">
        <v>0.5</v>
      </c>
      <c r="K5" s="15" t="s">
        <v>77</v>
      </c>
      <c r="L5" s="14">
        <v>0.27589999999999998</v>
      </c>
      <c r="M5" s="14">
        <v>0.1</v>
      </c>
      <c r="N5" s="15" t="s">
        <v>77</v>
      </c>
      <c r="O5" s="15" t="s">
        <v>77</v>
      </c>
      <c r="P5" s="15" t="s">
        <v>77</v>
      </c>
      <c r="Q5" s="14">
        <v>0.22220000000000001</v>
      </c>
      <c r="R5" s="15" t="s">
        <v>77</v>
      </c>
      <c r="S5" s="14">
        <v>1</v>
      </c>
      <c r="T5" s="14">
        <v>0.28570000000000001</v>
      </c>
      <c r="U5" s="15" t="s">
        <v>77</v>
      </c>
      <c r="V5" s="15">
        <f t="shared" si="0"/>
        <v>-8.4100000000000008E-2</v>
      </c>
    </row>
    <row r="6" spans="1:22" x14ac:dyDescent="0.2">
      <c r="A6" s="12" t="s">
        <v>63</v>
      </c>
      <c r="B6" s="10">
        <v>0.5</v>
      </c>
      <c r="C6" s="9" t="s">
        <v>77</v>
      </c>
      <c r="D6" s="10">
        <v>0.25</v>
      </c>
      <c r="E6" s="9" t="s">
        <v>77</v>
      </c>
      <c r="F6" s="9" t="s">
        <v>77</v>
      </c>
      <c r="G6" s="9" t="s">
        <v>77</v>
      </c>
      <c r="H6" s="10">
        <v>1</v>
      </c>
      <c r="I6" s="9" t="s">
        <v>77</v>
      </c>
      <c r="J6" s="9" t="s">
        <v>77</v>
      </c>
      <c r="K6" s="9" t="s">
        <v>77</v>
      </c>
      <c r="L6" s="10">
        <v>0.66669999999999996</v>
      </c>
      <c r="M6" s="9" t="s">
        <v>77</v>
      </c>
      <c r="N6" s="9" t="s">
        <v>77</v>
      </c>
      <c r="O6" s="10">
        <v>1</v>
      </c>
      <c r="P6" s="9" t="s">
        <v>77</v>
      </c>
      <c r="Q6" s="9" t="s">
        <v>77</v>
      </c>
      <c r="R6" s="10">
        <v>0.6</v>
      </c>
      <c r="S6" s="9" t="s">
        <v>77</v>
      </c>
      <c r="T6" s="9" t="s">
        <v>77</v>
      </c>
      <c r="U6" s="9" t="s">
        <v>77</v>
      </c>
      <c r="V6" s="9">
        <f t="shared" si="0"/>
        <v>0.16669999999999996</v>
      </c>
    </row>
    <row r="7" spans="1:22" x14ac:dyDescent="0.2">
      <c r="A7" s="13" t="s">
        <v>56</v>
      </c>
      <c r="B7" s="14">
        <v>0.26669999999999999</v>
      </c>
      <c r="C7" s="14">
        <v>8.3299999999999999E-2</v>
      </c>
      <c r="D7" s="15" t="s">
        <v>77</v>
      </c>
      <c r="E7" s="15" t="s">
        <v>77</v>
      </c>
      <c r="F7" s="15" t="s">
        <v>77</v>
      </c>
      <c r="G7" s="15" t="s">
        <v>77</v>
      </c>
      <c r="H7" s="14">
        <v>0.5</v>
      </c>
      <c r="I7" s="14">
        <v>0.33329999999999999</v>
      </c>
      <c r="J7" s="14">
        <v>0.25</v>
      </c>
      <c r="K7" s="14">
        <v>0.44440000000000002</v>
      </c>
      <c r="L7" s="14">
        <v>0.29630000000000001</v>
      </c>
      <c r="M7" s="14">
        <v>0.1</v>
      </c>
      <c r="N7" s="15" t="s">
        <v>77</v>
      </c>
      <c r="O7" s="15" t="s">
        <v>77</v>
      </c>
      <c r="P7" s="15" t="s">
        <v>77</v>
      </c>
      <c r="Q7" s="15" t="s">
        <v>77</v>
      </c>
      <c r="R7" s="15" t="s">
        <v>77</v>
      </c>
      <c r="S7" s="14">
        <v>0.33329999999999999</v>
      </c>
      <c r="T7" s="14">
        <v>0.28570000000000001</v>
      </c>
      <c r="U7" s="14">
        <v>0.57140000000000002</v>
      </c>
      <c r="V7" s="15">
        <f t="shared" si="0"/>
        <v>2.9600000000000015E-2</v>
      </c>
    </row>
    <row r="8" spans="1:22" x14ac:dyDescent="0.2">
      <c r="A8" s="12" t="s">
        <v>78</v>
      </c>
      <c r="B8" s="10">
        <v>0.15379999999999999</v>
      </c>
      <c r="C8" s="9" t="s">
        <v>77</v>
      </c>
      <c r="D8" s="10">
        <v>0.25</v>
      </c>
      <c r="E8" s="9" t="s">
        <v>77</v>
      </c>
      <c r="F8" s="9" t="s">
        <v>77</v>
      </c>
      <c r="G8" s="9" t="s">
        <v>77</v>
      </c>
      <c r="H8" s="9" t="s">
        <v>77</v>
      </c>
      <c r="I8" s="9" t="s">
        <v>77</v>
      </c>
      <c r="J8" s="9" t="s">
        <v>77</v>
      </c>
      <c r="K8" s="10">
        <v>0.1111</v>
      </c>
      <c r="L8" s="10">
        <v>0.375</v>
      </c>
      <c r="M8" s="9" t="s">
        <v>77</v>
      </c>
      <c r="N8" s="9" t="s">
        <v>77</v>
      </c>
      <c r="O8" s="10">
        <v>1</v>
      </c>
      <c r="P8" s="9" t="s">
        <v>77</v>
      </c>
      <c r="Q8" s="9" t="s">
        <v>77</v>
      </c>
      <c r="R8" s="9" t="s">
        <v>77</v>
      </c>
      <c r="S8" s="9" t="s">
        <v>77</v>
      </c>
      <c r="T8" s="9" t="s">
        <v>77</v>
      </c>
      <c r="U8" s="10">
        <v>0.28570000000000001</v>
      </c>
      <c r="V8" s="9">
        <f t="shared" si="0"/>
        <v>0.22120000000000001</v>
      </c>
    </row>
    <row r="9" spans="1:22" x14ac:dyDescent="0.2">
      <c r="A9" s="13" t="s">
        <v>58</v>
      </c>
      <c r="B9" s="14">
        <v>0.25</v>
      </c>
      <c r="C9" s="14">
        <v>8.3299999999999999E-2</v>
      </c>
      <c r="D9" s="15" t="s">
        <v>77</v>
      </c>
      <c r="E9" s="15" t="s">
        <v>77</v>
      </c>
      <c r="F9" s="15" t="s">
        <v>77</v>
      </c>
      <c r="G9" s="15" t="s">
        <v>77</v>
      </c>
      <c r="H9" s="15" t="s">
        <v>77</v>
      </c>
      <c r="I9" s="14">
        <v>0.33329999999999999</v>
      </c>
      <c r="J9" s="15" t="s">
        <v>77</v>
      </c>
      <c r="K9" s="14">
        <v>0.44440000000000002</v>
      </c>
      <c r="L9" s="14">
        <v>0.28570000000000001</v>
      </c>
      <c r="M9" s="15" t="s">
        <v>77</v>
      </c>
      <c r="N9" s="15" t="s">
        <v>77</v>
      </c>
      <c r="O9" s="15" t="s">
        <v>77</v>
      </c>
      <c r="P9" s="15" t="s">
        <v>77</v>
      </c>
      <c r="Q9" s="14">
        <v>0.1111</v>
      </c>
      <c r="R9" s="14">
        <v>0.2</v>
      </c>
      <c r="S9" s="15" t="s">
        <v>77</v>
      </c>
      <c r="T9" s="14">
        <v>0.28570000000000001</v>
      </c>
      <c r="U9" s="14">
        <v>0.57140000000000002</v>
      </c>
      <c r="V9" s="15">
        <f t="shared" si="0"/>
        <v>3.570000000000001E-2</v>
      </c>
    </row>
    <row r="10" spans="1:22" x14ac:dyDescent="0.2">
      <c r="A10" s="12" t="s">
        <v>61</v>
      </c>
      <c r="B10" s="10">
        <v>0.23330000000000001</v>
      </c>
      <c r="C10" s="10">
        <v>8.3299999999999999E-2</v>
      </c>
      <c r="D10" s="9" t="s">
        <v>77</v>
      </c>
      <c r="E10" s="9" t="s">
        <v>77</v>
      </c>
      <c r="F10" s="9" t="s">
        <v>77</v>
      </c>
      <c r="G10" s="10">
        <v>0.16669999999999999</v>
      </c>
      <c r="H10" s="9" t="s">
        <v>77</v>
      </c>
      <c r="I10" s="10">
        <v>0.33329999999999999</v>
      </c>
      <c r="J10" s="9" t="s">
        <v>77</v>
      </c>
      <c r="K10" s="10">
        <v>0.44440000000000002</v>
      </c>
      <c r="L10" s="10">
        <v>0.2414</v>
      </c>
      <c r="M10" s="10">
        <v>0.1</v>
      </c>
      <c r="N10" s="9" t="s">
        <v>77</v>
      </c>
      <c r="O10" s="9" t="s">
        <v>77</v>
      </c>
      <c r="P10" s="9" t="s">
        <v>77</v>
      </c>
      <c r="Q10" s="10">
        <v>0.1111</v>
      </c>
      <c r="R10" s="9" t="s">
        <v>77</v>
      </c>
      <c r="S10" s="10">
        <v>0.33329999999999999</v>
      </c>
      <c r="T10" s="9" t="s">
        <v>77</v>
      </c>
      <c r="U10" s="10">
        <v>0.57140000000000002</v>
      </c>
      <c r="V10" s="9">
        <f t="shared" si="0"/>
        <v>8.0999999999999961E-3</v>
      </c>
    </row>
    <row r="11" spans="1:22" x14ac:dyDescent="0.2">
      <c r="A11" s="13" t="s">
        <v>79</v>
      </c>
      <c r="B11" s="14">
        <v>0.5</v>
      </c>
      <c r="C11" s="15" t="s">
        <v>77</v>
      </c>
      <c r="D11" s="14">
        <v>0.5</v>
      </c>
      <c r="E11" s="15" t="s">
        <v>77</v>
      </c>
      <c r="F11" s="15" t="s">
        <v>77</v>
      </c>
      <c r="G11" s="15" t="s">
        <v>77</v>
      </c>
      <c r="H11" s="15" t="s">
        <v>77</v>
      </c>
      <c r="I11" s="15" t="s">
        <v>77</v>
      </c>
      <c r="J11" s="15" t="s">
        <v>77</v>
      </c>
      <c r="K11" s="15" t="s">
        <v>77</v>
      </c>
      <c r="L11" s="14">
        <v>0.2</v>
      </c>
      <c r="M11" s="15" t="s">
        <v>77</v>
      </c>
      <c r="N11" s="14">
        <v>1</v>
      </c>
      <c r="O11" s="15" t="s">
        <v>77</v>
      </c>
      <c r="P11" s="15" t="s">
        <v>77</v>
      </c>
      <c r="Q11" s="14">
        <v>0.1111</v>
      </c>
      <c r="R11" s="15" t="s">
        <v>77</v>
      </c>
      <c r="S11" s="15" t="s">
        <v>77</v>
      </c>
      <c r="T11" s="15" t="s">
        <v>77</v>
      </c>
      <c r="U11" s="15" t="s">
        <v>77</v>
      </c>
      <c r="V11" s="15">
        <f t="shared" si="0"/>
        <v>-0.3</v>
      </c>
    </row>
    <row r="12" spans="1:22" x14ac:dyDescent="0.2">
      <c r="A12" s="12" t="s">
        <v>62</v>
      </c>
      <c r="B12" s="10">
        <v>0.23810000000000001</v>
      </c>
      <c r="C12" s="10">
        <v>8.3299999999999999E-2</v>
      </c>
      <c r="D12" s="9" t="s">
        <v>77</v>
      </c>
      <c r="E12" s="9" t="s">
        <v>77</v>
      </c>
      <c r="F12" s="9" t="s">
        <v>77</v>
      </c>
      <c r="G12" s="9" t="s">
        <v>77</v>
      </c>
      <c r="H12" s="9" t="s">
        <v>77</v>
      </c>
      <c r="I12" s="9" t="s">
        <v>77</v>
      </c>
      <c r="J12" s="9" t="s">
        <v>77</v>
      </c>
      <c r="K12" s="10">
        <v>0.44440000000000002</v>
      </c>
      <c r="L12" s="10">
        <v>0.3</v>
      </c>
      <c r="M12" s="10">
        <v>0.1</v>
      </c>
      <c r="N12" s="9" t="s">
        <v>77</v>
      </c>
      <c r="O12" s="9" t="s">
        <v>77</v>
      </c>
      <c r="P12" s="9" t="s">
        <v>77</v>
      </c>
      <c r="Q12" s="9" t="s">
        <v>77</v>
      </c>
      <c r="R12" s="9" t="s">
        <v>77</v>
      </c>
      <c r="S12" s="10">
        <v>0.33329999999999999</v>
      </c>
      <c r="T12" s="9" t="s">
        <v>77</v>
      </c>
      <c r="U12" s="10">
        <v>0.57140000000000002</v>
      </c>
      <c r="V12" s="9">
        <f t="shared" si="0"/>
        <v>6.1899999999999983E-2</v>
      </c>
    </row>
    <row r="13" spans="1:22" x14ac:dyDescent="0.2">
      <c r="A13" s="13" t="s">
        <v>59</v>
      </c>
      <c r="B13" s="14">
        <v>0.2727</v>
      </c>
      <c r="C13" s="14">
        <v>0.33329999999999999</v>
      </c>
      <c r="D13" s="15" t="s">
        <v>77</v>
      </c>
      <c r="E13" s="15" t="s">
        <v>77</v>
      </c>
      <c r="F13" s="14">
        <v>0.25</v>
      </c>
      <c r="G13" s="14">
        <v>0.16669999999999999</v>
      </c>
      <c r="H13" s="15" t="s">
        <v>77</v>
      </c>
      <c r="I13" s="15" t="s">
        <v>77</v>
      </c>
      <c r="J13" s="15" t="s">
        <v>77</v>
      </c>
      <c r="K13" s="15" t="s">
        <v>77</v>
      </c>
      <c r="L13" s="14">
        <v>0.2258</v>
      </c>
      <c r="M13" s="14">
        <v>0.4</v>
      </c>
      <c r="N13" s="15" t="s">
        <v>77</v>
      </c>
      <c r="O13" s="15" t="s">
        <v>77</v>
      </c>
      <c r="P13" s="14">
        <v>0.2</v>
      </c>
      <c r="Q13" s="14">
        <v>0.1111</v>
      </c>
      <c r="R13" s="15" t="s">
        <v>77</v>
      </c>
      <c r="S13" s="15" t="s">
        <v>77</v>
      </c>
      <c r="T13" s="15" t="s">
        <v>77</v>
      </c>
      <c r="U13" s="14">
        <v>0.1429</v>
      </c>
      <c r="V13" s="15">
        <f t="shared" si="0"/>
        <v>-4.6899999999999997E-2</v>
      </c>
    </row>
    <row r="14" spans="1:22" x14ac:dyDescent="0.2">
      <c r="A14" s="12" t="s">
        <v>60</v>
      </c>
      <c r="B14" s="10">
        <v>0.2727</v>
      </c>
      <c r="C14" s="10">
        <v>0.25</v>
      </c>
      <c r="D14" s="10">
        <v>0.25</v>
      </c>
      <c r="E14" s="9" t="s">
        <v>77</v>
      </c>
      <c r="F14" s="9" t="s">
        <v>77</v>
      </c>
      <c r="G14" s="10">
        <v>0.33329999999999999</v>
      </c>
      <c r="H14" s="10">
        <v>0.5</v>
      </c>
      <c r="I14" s="9" t="s">
        <v>77</v>
      </c>
      <c r="J14" s="9" t="s">
        <v>77</v>
      </c>
      <c r="K14" s="10">
        <v>0.22220000000000001</v>
      </c>
      <c r="L14" s="10">
        <v>0.25</v>
      </c>
      <c r="M14" s="10">
        <v>0.2</v>
      </c>
      <c r="N14" s="9" t="s">
        <v>77</v>
      </c>
      <c r="O14" s="9" t="s">
        <v>77</v>
      </c>
      <c r="P14" s="9" t="s">
        <v>77</v>
      </c>
      <c r="Q14" s="10">
        <v>0.33329999999999999</v>
      </c>
      <c r="R14" s="10">
        <v>0.2</v>
      </c>
      <c r="S14" s="9" t="s">
        <v>77</v>
      </c>
      <c r="T14" s="9" t="s">
        <v>77</v>
      </c>
      <c r="U14" s="9" t="s">
        <v>77</v>
      </c>
      <c r="V14" s="9">
        <f t="shared" si="0"/>
        <v>-2.2699999999999998E-2</v>
      </c>
    </row>
    <row r="15" spans="1:22" x14ac:dyDescent="0.2">
      <c r="A15" s="13" t="s">
        <v>65</v>
      </c>
      <c r="B15" s="14">
        <v>0.12</v>
      </c>
      <c r="C15" s="14">
        <v>8.3299999999999999E-2</v>
      </c>
      <c r="D15" s="15" t="s">
        <v>77</v>
      </c>
      <c r="E15" s="15" t="s">
        <v>77</v>
      </c>
      <c r="F15" s="14">
        <v>0.25</v>
      </c>
      <c r="G15" s="15" t="s">
        <v>77</v>
      </c>
      <c r="H15" s="15" t="s">
        <v>77</v>
      </c>
      <c r="I15" s="15" t="s">
        <v>77</v>
      </c>
      <c r="J15" s="15" t="s">
        <v>77</v>
      </c>
      <c r="K15" s="14">
        <v>0.1111</v>
      </c>
      <c r="L15" s="14">
        <v>0.14810000000000001</v>
      </c>
      <c r="M15" s="14">
        <v>0.1</v>
      </c>
      <c r="N15" s="15" t="s">
        <v>77</v>
      </c>
      <c r="O15" s="15" t="s">
        <v>77</v>
      </c>
      <c r="P15" s="14">
        <v>0.2</v>
      </c>
      <c r="Q15" s="15" t="s">
        <v>77</v>
      </c>
      <c r="R15" s="14">
        <v>0.2</v>
      </c>
      <c r="S15" s="15" t="s">
        <v>77</v>
      </c>
      <c r="T15" s="15" t="s">
        <v>77</v>
      </c>
      <c r="U15" s="14">
        <v>0.1429</v>
      </c>
      <c r="V15" s="15">
        <f t="shared" si="0"/>
        <v>2.8100000000000014E-2</v>
      </c>
    </row>
    <row r="16" spans="1:22" x14ac:dyDescent="0.2">
      <c r="A16" s="12" t="s">
        <v>64</v>
      </c>
      <c r="B16" s="10">
        <v>0.44440000000000002</v>
      </c>
      <c r="C16" s="9" t="s">
        <v>77</v>
      </c>
      <c r="D16" s="9" t="s">
        <v>77</v>
      </c>
      <c r="E16" s="9" t="s">
        <v>77</v>
      </c>
      <c r="F16" s="9" t="s">
        <v>77</v>
      </c>
      <c r="G16" s="9" t="s">
        <v>77</v>
      </c>
      <c r="H16" s="9" t="s">
        <v>77</v>
      </c>
      <c r="I16" s="9" t="s">
        <v>77</v>
      </c>
      <c r="J16" s="9" t="s">
        <v>77</v>
      </c>
      <c r="K16" s="10">
        <v>0.44440000000000002</v>
      </c>
      <c r="L16" s="10">
        <v>0.57140000000000002</v>
      </c>
      <c r="M16" s="9" t="s">
        <v>77</v>
      </c>
      <c r="N16" s="9" t="s">
        <v>77</v>
      </c>
      <c r="O16" s="9" t="s">
        <v>77</v>
      </c>
      <c r="P16" s="9" t="s">
        <v>77</v>
      </c>
      <c r="Q16" s="9" t="s">
        <v>77</v>
      </c>
      <c r="R16" s="9" t="s">
        <v>77</v>
      </c>
      <c r="S16" s="9" t="s">
        <v>77</v>
      </c>
      <c r="T16" s="9" t="s">
        <v>77</v>
      </c>
      <c r="U16" s="10">
        <v>0.57140000000000002</v>
      </c>
      <c r="V16" s="9">
        <f t="shared" si="0"/>
        <v>0.127</v>
      </c>
    </row>
    <row r="17" spans="1:22" x14ac:dyDescent="0.2">
      <c r="A17" s="13" t="s">
        <v>80</v>
      </c>
      <c r="B17" s="14">
        <v>0.129</v>
      </c>
      <c r="C17" s="14">
        <v>8.3299999999999999E-2</v>
      </c>
      <c r="D17" s="14">
        <v>0.25</v>
      </c>
      <c r="E17" s="15" t="s">
        <v>77</v>
      </c>
      <c r="F17" s="15" t="s">
        <v>77</v>
      </c>
      <c r="G17" s="14">
        <v>0.16669999999999999</v>
      </c>
      <c r="H17" s="15" t="s">
        <v>77</v>
      </c>
      <c r="I17" s="15" t="s">
        <v>77</v>
      </c>
      <c r="J17" s="15" t="s">
        <v>77</v>
      </c>
      <c r="K17" s="14">
        <v>0.1111</v>
      </c>
      <c r="L17" s="14">
        <v>0.125</v>
      </c>
      <c r="M17" s="14">
        <v>0.1</v>
      </c>
      <c r="N17" s="15" t="s">
        <v>77</v>
      </c>
      <c r="O17" s="15" t="s">
        <v>77</v>
      </c>
      <c r="P17" s="15" t="s">
        <v>77</v>
      </c>
      <c r="Q17" s="14">
        <v>0.1111</v>
      </c>
      <c r="R17" s="14">
        <v>0.2</v>
      </c>
      <c r="S17" s="15" t="s">
        <v>77</v>
      </c>
      <c r="T17" s="15" t="s">
        <v>77</v>
      </c>
      <c r="U17" s="15" t="s">
        <v>77</v>
      </c>
      <c r="V17" s="15">
        <f t="shared" si="0"/>
        <v>-4.0000000000000036E-3</v>
      </c>
    </row>
    <row r="18" spans="1:22" x14ac:dyDescent="0.2">
      <c r="A18" s="12" t="s">
        <v>81</v>
      </c>
      <c r="B18" s="10">
        <v>0.5</v>
      </c>
      <c r="C18" s="9" t="s">
        <v>77</v>
      </c>
      <c r="D18" s="9" t="s">
        <v>77</v>
      </c>
      <c r="E18" s="9" t="s">
        <v>77</v>
      </c>
      <c r="F18" s="10">
        <v>0.5</v>
      </c>
      <c r="G18" s="9" t="s">
        <v>77</v>
      </c>
      <c r="H18" s="9" t="s">
        <v>77</v>
      </c>
      <c r="I18" s="9" t="s">
        <v>77</v>
      </c>
      <c r="J18" s="9" t="s">
        <v>77</v>
      </c>
      <c r="K18" s="9" t="s">
        <v>77</v>
      </c>
      <c r="L18" s="10">
        <v>0.4</v>
      </c>
      <c r="M18" s="9" t="s">
        <v>77</v>
      </c>
      <c r="N18" s="9" t="s">
        <v>77</v>
      </c>
      <c r="O18" s="9" t="s">
        <v>77</v>
      </c>
      <c r="P18" s="10">
        <v>0.4</v>
      </c>
      <c r="Q18" s="9" t="s">
        <v>77</v>
      </c>
      <c r="R18" s="9" t="s">
        <v>77</v>
      </c>
      <c r="S18" s="9" t="s">
        <v>77</v>
      </c>
      <c r="T18" s="9" t="s">
        <v>77</v>
      </c>
      <c r="U18" s="9" t="s">
        <v>77</v>
      </c>
      <c r="V18" s="9">
        <f t="shared" si="0"/>
        <v>-9.9999999999999978E-2</v>
      </c>
    </row>
    <row r="19" spans="1:22" x14ac:dyDescent="0.2">
      <c r="A19" s="13" t="s">
        <v>66</v>
      </c>
      <c r="B19" s="14">
        <v>0.1875</v>
      </c>
      <c r="C19" s="14">
        <v>8.3299999999999999E-2</v>
      </c>
      <c r="D19" s="15" t="s">
        <v>77</v>
      </c>
      <c r="E19" s="15" t="s">
        <v>77</v>
      </c>
      <c r="F19" s="15" t="s">
        <v>77</v>
      </c>
      <c r="G19" s="15" t="s">
        <v>77</v>
      </c>
      <c r="H19" s="15" t="s">
        <v>77</v>
      </c>
      <c r="I19" s="15" t="s">
        <v>77</v>
      </c>
      <c r="J19" s="14">
        <v>0.5</v>
      </c>
      <c r="K19" s="15" t="s">
        <v>77</v>
      </c>
      <c r="L19" s="14">
        <v>0.17649999999999999</v>
      </c>
      <c r="M19" s="14">
        <v>0.1</v>
      </c>
      <c r="N19" s="15" t="s">
        <v>77</v>
      </c>
      <c r="O19" s="15" t="s">
        <v>77</v>
      </c>
      <c r="P19" s="15" t="s">
        <v>77</v>
      </c>
      <c r="Q19" s="15" t="s">
        <v>77</v>
      </c>
      <c r="R19" s="15" t="s">
        <v>77</v>
      </c>
      <c r="S19" s="15" t="s">
        <v>77</v>
      </c>
      <c r="T19" s="14">
        <v>0.28570000000000001</v>
      </c>
      <c r="U19" s="15" t="s">
        <v>77</v>
      </c>
      <c r="V19" s="15">
        <f t="shared" si="0"/>
        <v>-1.100000000000001E-2</v>
      </c>
    </row>
    <row r="20" spans="1:22" x14ac:dyDescent="0.2">
      <c r="A20" s="12" t="s">
        <v>82</v>
      </c>
      <c r="B20" s="9" t="s">
        <v>77</v>
      </c>
      <c r="C20" s="9" t="s">
        <v>77</v>
      </c>
      <c r="D20" s="9" t="s">
        <v>77</v>
      </c>
      <c r="E20" s="9" t="s">
        <v>77</v>
      </c>
      <c r="F20" s="9" t="s">
        <v>77</v>
      </c>
      <c r="G20" s="9" t="s">
        <v>77</v>
      </c>
      <c r="H20" s="9" t="s">
        <v>77</v>
      </c>
      <c r="I20" s="9" t="s">
        <v>77</v>
      </c>
      <c r="J20" s="9" t="s">
        <v>77</v>
      </c>
      <c r="K20" s="9" t="s">
        <v>77</v>
      </c>
      <c r="L20" s="10">
        <v>0.28570000000000001</v>
      </c>
      <c r="M20" s="9" t="s">
        <v>77</v>
      </c>
      <c r="N20" s="9" t="s">
        <v>77</v>
      </c>
      <c r="O20" s="9" t="s">
        <v>77</v>
      </c>
      <c r="P20" s="9" t="s">
        <v>77</v>
      </c>
      <c r="Q20" s="9" t="s">
        <v>77</v>
      </c>
      <c r="R20" s="9" t="s">
        <v>77</v>
      </c>
      <c r="S20" s="9" t="s">
        <v>77</v>
      </c>
      <c r="T20" s="10">
        <v>0.28570000000000001</v>
      </c>
      <c r="U20" s="9" t="s">
        <v>77</v>
      </c>
      <c r="V20" s="9"/>
    </row>
    <row r="21" spans="1:22" x14ac:dyDescent="0.2">
      <c r="A21" s="13" t="s">
        <v>83</v>
      </c>
      <c r="B21" s="14">
        <v>0.5</v>
      </c>
      <c r="C21" s="15" t="s">
        <v>77</v>
      </c>
      <c r="D21" s="15" t="s">
        <v>77</v>
      </c>
      <c r="E21" s="15" t="s">
        <v>77</v>
      </c>
      <c r="F21" s="15" t="s">
        <v>77</v>
      </c>
      <c r="G21" s="15" t="s">
        <v>77</v>
      </c>
      <c r="H21" s="15" t="s">
        <v>77</v>
      </c>
      <c r="I21" s="15" t="s">
        <v>77</v>
      </c>
      <c r="J21" s="14">
        <v>0.5</v>
      </c>
      <c r="K21" s="15" t="s">
        <v>77</v>
      </c>
      <c r="L21" s="14">
        <v>0.28570000000000001</v>
      </c>
      <c r="M21" s="15" t="s">
        <v>77</v>
      </c>
      <c r="N21" s="15" t="s">
        <v>77</v>
      </c>
      <c r="O21" s="15" t="s">
        <v>77</v>
      </c>
      <c r="P21" s="15" t="s">
        <v>77</v>
      </c>
      <c r="Q21" s="15" t="s">
        <v>77</v>
      </c>
      <c r="R21" s="15" t="s">
        <v>77</v>
      </c>
      <c r="S21" s="15" t="s">
        <v>77</v>
      </c>
      <c r="T21" s="14">
        <v>0.28570000000000001</v>
      </c>
      <c r="U21" s="15" t="s">
        <v>77</v>
      </c>
      <c r="V21" s="15">
        <f>L21-B21</f>
        <v>-0.21429999999999999</v>
      </c>
    </row>
    <row r="22" spans="1:22" x14ac:dyDescent="0.2">
      <c r="A22" s="12" t="s">
        <v>84</v>
      </c>
      <c r="B22" s="10">
        <v>0.1111</v>
      </c>
      <c r="C22" s="10">
        <v>8.3299999999999999E-2</v>
      </c>
      <c r="D22" s="9" t="s">
        <v>77</v>
      </c>
      <c r="E22" s="9" t="s">
        <v>77</v>
      </c>
      <c r="F22" s="9" t="s">
        <v>77</v>
      </c>
      <c r="G22" s="10">
        <v>0.16669999999999999</v>
      </c>
      <c r="H22" s="9" t="s">
        <v>77</v>
      </c>
      <c r="I22" s="9" t="s">
        <v>77</v>
      </c>
      <c r="J22" s="9" t="s">
        <v>77</v>
      </c>
      <c r="K22" s="10">
        <v>0.1111</v>
      </c>
      <c r="L22" s="10">
        <v>0.1053</v>
      </c>
      <c r="M22" s="10">
        <v>0.1</v>
      </c>
      <c r="N22" s="9" t="s">
        <v>77</v>
      </c>
      <c r="O22" s="9" t="s">
        <v>77</v>
      </c>
      <c r="P22" s="9" t="s">
        <v>77</v>
      </c>
      <c r="Q22" s="10">
        <v>0.1111</v>
      </c>
      <c r="R22" s="9" t="s">
        <v>77</v>
      </c>
      <c r="S22" s="9" t="s">
        <v>77</v>
      </c>
      <c r="T22" s="9" t="s">
        <v>77</v>
      </c>
      <c r="U22" s="9" t="s">
        <v>77</v>
      </c>
      <c r="V22" s="9">
        <f>L22-B22</f>
        <v>-5.7999999999999996E-3</v>
      </c>
    </row>
    <row r="23" spans="1:22" x14ac:dyDescent="0.2">
      <c r="A23" s="13" t="s">
        <v>85</v>
      </c>
      <c r="B23" s="14">
        <v>0.25</v>
      </c>
      <c r="C23" s="14">
        <v>0.25</v>
      </c>
      <c r="D23" s="15" t="s">
        <v>77</v>
      </c>
      <c r="E23" s="15" t="s">
        <v>77</v>
      </c>
      <c r="F23" s="14">
        <v>0.25</v>
      </c>
      <c r="G23" s="15" t="s">
        <v>77</v>
      </c>
      <c r="H23" s="15" t="s">
        <v>77</v>
      </c>
      <c r="I23" s="15" t="s">
        <v>77</v>
      </c>
      <c r="J23" s="15" t="s">
        <v>77</v>
      </c>
      <c r="K23" s="15" t="s">
        <v>77</v>
      </c>
      <c r="L23" s="14">
        <v>0.2</v>
      </c>
      <c r="M23" s="15" t="s">
        <v>77</v>
      </c>
      <c r="N23" s="15" t="s">
        <v>77</v>
      </c>
      <c r="O23" s="15" t="s">
        <v>77</v>
      </c>
      <c r="P23" s="14">
        <v>0.2</v>
      </c>
      <c r="Q23" s="15" t="s">
        <v>77</v>
      </c>
      <c r="R23" s="15" t="s">
        <v>77</v>
      </c>
      <c r="S23" s="15" t="s">
        <v>77</v>
      </c>
      <c r="T23" s="15" t="s">
        <v>77</v>
      </c>
      <c r="U23" s="15" t="s">
        <v>77</v>
      </c>
      <c r="V23" s="15">
        <f>L23-B23</f>
        <v>-4.9999999999999989E-2</v>
      </c>
    </row>
    <row r="24" spans="1:22" x14ac:dyDescent="0.2">
      <c r="A24" s="12" t="s">
        <v>86</v>
      </c>
      <c r="B24" s="9" t="s">
        <v>77</v>
      </c>
      <c r="C24" s="9" t="s">
        <v>77</v>
      </c>
      <c r="D24" s="9" t="s">
        <v>77</v>
      </c>
      <c r="E24" s="9" t="s">
        <v>77</v>
      </c>
      <c r="F24" s="9" t="s">
        <v>77</v>
      </c>
      <c r="G24" s="9" t="s">
        <v>77</v>
      </c>
      <c r="H24" s="9" t="s">
        <v>77</v>
      </c>
      <c r="I24" s="9" t="s">
        <v>77</v>
      </c>
      <c r="J24" s="9" t="s">
        <v>77</v>
      </c>
      <c r="K24" s="9" t="s">
        <v>77</v>
      </c>
      <c r="L24" s="10">
        <v>0.2</v>
      </c>
      <c r="M24" s="9" t="s">
        <v>77</v>
      </c>
      <c r="N24" s="9" t="s">
        <v>77</v>
      </c>
      <c r="O24" s="9" t="s">
        <v>77</v>
      </c>
      <c r="P24" s="10">
        <v>0.2</v>
      </c>
      <c r="Q24" s="9" t="s">
        <v>77</v>
      </c>
      <c r="R24" s="9" t="s">
        <v>77</v>
      </c>
      <c r="S24" s="9" t="s">
        <v>77</v>
      </c>
      <c r="T24" s="9" t="s">
        <v>77</v>
      </c>
      <c r="U24" s="9" t="s">
        <v>77</v>
      </c>
      <c r="V24" s="9"/>
    </row>
    <row r="25" spans="1:22" x14ac:dyDescent="0.2">
      <c r="A25" s="13" t="s">
        <v>87</v>
      </c>
      <c r="B25" s="15" t="s">
        <v>77</v>
      </c>
      <c r="C25" s="15" t="s">
        <v>77</v>
      </c>
      <c r="D25" s="15" t="s">
        <v>77</v>
      </c>
      <c r="E25" s="15" t="s">
        <v>77</v>
      </c>
      <c r="F25" s="15" t="s">
        <v>77</v>
      </c>
      <c r="G25" s="15" t="s">
        <v>77</v>
      </c>
      <c r="H25" s="15" t="s">
        <v>77</v>
      </c>
      <c r="I25" s="15" t="s">
        <v>77</v>
      </c>
      <c r="J25" s="15" t="s">
        <v>77</v>
      </c>
      <c r="K25" s="15" t="s">
        <v>77</v>
      </c>
      <c r="L25" s="14">
        <v>0.1429</v>
      </c>
      <c r="M25" s="15" t="s">
        <v>77</v>
      </c>
      <c r="N25" s="15" t="s">
        <v>77</v>
      </c>
      <c r="O25" s="15" t="s">
        <v>77</v>
      </c>
      <c r="P25" s="15" t="s">
        <v>77</v>
      </c>
      <c r="Q25" s="15" t="s">
        <v>77</v>
      </c>
      <c r="R25" s="15" t="s">
        <v>77</v>
      </c>
      <c r="S25" s="15" t="s">
        <v>77</v>
      </c>
      <c r="T25" s="14">
        <v>0.1429</v>
      </c>
      <c r="U25" s="15" t="s">
        <v>77</v>
      </c>
      <c r="V25" s="15"/>
    </row>
    <row r="26" spans="1:22" x14ac:dyDescent="0.2">
      <c r="A26" s="12" t="s">
        <v>88</v>
      </c>
      <c r="B26" s="9" t="s">
        <v>77</v>
      </c>
      <c r="C26" s="9" t="s">
        <v>77</v>
      </c>
      <c r="D26" s="9" t="s">
        <v>77</v>
      </c>
      <c r="E26" s="9" t="s">
        <v>77</v>
      </c>
      <c r="F26" s="9" t="s">
        <v>77</v>
      </c>
      <c r="G26" s="9" t="s">
        <v>77</v>
      </c>
      <c r="H26" s="9" t="s">
        <v>77</v>
      </c>
      <c r="I26" s="9" t="s">
        <v>77</v>
      </c>
      <c r="J26" s="9" t="s">
        <v>77</v>
      </c>
      <c r="K26" s="9" t="s">
        <v>77</v>
      </c>
      <c r="L26" s="10">
        <v>0.1111</v>
      </c>
      <c r="M26" s="9" t="s">
        <v>77</v>
      </c>
      <c r="N26" s="9" t="s">
        <v>77</v>
      </c>
      <c r="O26" s="9" t="s">
        <v>77</v>
      </c>
      <c r="P26" s="9" t="s">
        <v>77</v>
      </c>
      <c r="Q26" s="10">
        <v>0.1111</v>
      </c>
      <c r="R26" s="9" t="s">
        <v>77</v>
      </c>
      <c r="S26" s="9" t="s">
        <v>77</v>
      </c>
      <c r="T26" s="9" t="s">
        <v>77</v>
      </c>
      <c r="U26" s="9" t="s">
        <v>77</v>
      </c>
      <c r="V26" s="9"/>
    </row>
    <row r="27" spans="1:22" x14ac:dyDescent="0.2">
      <c r="A27" s="11" t="s">
        <v>120</v>
      </c>
    </row>
  </sheetData>
  <mergeCells count="3">
    <mergeCell ref="A1:V1"/>
    <mergeCell ref="B2:K2"/>
    <mergeCell ref="L2:U2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zoomScaleNormal="100" workbookViewId="0">
      <pane ySplit="2" topLeftCell="A3" activePane="bottomLeft" state="frozen"/>
      <selection pane="bottomLeft" sqref="A1:H1"/>
    </sheetView>
  </sheetViews>
  <sheetFormatPr baseColWidth="10" defaultColWidth="8.6640625" defaultRowHeight="15" x14ac:dyDescent="0.2"/>
  <cols>
    <col min="1" max="1" width="30" customWidth="1"/>
    <col min="2" max="8" width="11" customWidth="1"/>
  </cols>
  <sheetData>
    <row r="1" spans="1:8" ht="24" customHeight="1" x14ac:dyDescent="0.2">
      <c r="A1" s="3" t="s">
        <v>121</v>
      </c>
      <c r="B1" s="3"/>
      <c r="C1" s="3"/>
      <c r="D1" s="3"/>
      <c r="E1" s="3"/>
      <c r="F1" s="3"/>
      <c r="G1" s="3"/>
      <c r="H1" s="3"/>
    </row>
    <row r="2" spans="1:8" x14ac:dyDescent="0.2">
      <c r="A2" s="7" t="s">
        <v>93</v>
      </c>
      <c r="B2" s="7" t="s">
        <v>94</v>
      </c>
      <c r="C2" s="7" t="s">
        <v>95</v>
      </c>
      <c r="D2" s="7" t="s">
        <v>96</v>
      </c>
      <c r="E2" s="7" t="s">
        <v>97</v>
      </c>
      <c r="F2" s="7" t="s">
        <v>98</v>
      </c>
      <c r="G2" s="7" t="s">
        <v>99</v>
      </c>
      <c r="H2" s="7" t="s">
        <v>100</v>
      </c>
    </row>
    <row r="3" spans="1:8" x14ac:dyDescent="0.2">
      <c r="A3" s="12" t="s">
        <v>50</v>
      </c>
      <c r="B3" s="9">
        <v>13</v>
      </c>
      <c r="C3" s="9">
        <v>12</v>
      </c>
      <c r="D3" s="10">
        <f t="shared" ref="D3:D12" si="0">IF(B3&gt;1,C3/(B3*(B3-1)/2),0)</f>
        <v>0.15384615384615385</v>
      </c>
      <c r="E3" s="9">
        <v>11</v>
      </c>
      <c r="F3" s="9">
        <v>10</v>
      </c>
      <c r="G3" s="10">
        <f t="shared" ref="G3:G12" si="1">IF(E3&gt;1,F3/(E3*(E3-1)/2),0)</f>
        <v>0.18181818181818182</v>
      </c>
      <c r="H3" s="10">
        <f t="shared" ref="H3:H12" si="2">G3-D3</f>
        <v>2.7972027972027969E-2</v>
      </c>
    </row>
    <row r="4" spans="1:8" x14ac:dyDescent="0.2">
      <c r="A4" s="12" t="s">
        <v>52</v>
      </c>
      <c r="B4" s="9">
        <v>5</v>
      </c>
      <c r="C4" s="9">
        <v>3</v>
      </c>
      <c r="D4" s="10">
        <f t="shared" si="0"/>
        <v>0.3</v>
      </c>
      <c r="E4" s="9">
        <v>2</v>
      </c>
      <c r="F4" s="9">
        <v>1</v>
      </c>
      <c r="G4" s="10">
        <f t="shared" si="1"/>
        <v>1</v>
      </c>
      <c r="H4" s="10">
        <f t="shared" si="2"/>
        <v>0.7</v>
      </c>
    </row>
    <row r="5" spans="1:8" x14ac:dyDescent="0.2">
      <c r="A5" s="12" t="s">
        <v>49</v>
      </c>
      <c r="B5" s="9">
        <v>0</v>
      </c>
      <c r="C5" s="9">
        <v>0</v>
      </c>
      <c r="D5" s="10">
        <f t="shared" si="0"/>
        <v>0</v>
      </c>
      <c r="E5" s="9">
        <v>2</v>
      </c>
      <c r="F5" s="9">
        <v>1</v>
      </c>
      <c r="G5" s="10">
        <f t="shared" si="1"/>
        <v>1</v>
      </c>
      <c r="H5" s="10">
        <f t="shared" si="2"/>
        <v>1</v>
      </c>
    </row>
    <row r="6" spans="1:8" x14ac:dyDescent="0.2">
      <c r="A6" s="12" t="s">
        <v>53</v>
      </c>
      <c r="B6" s="9">
        <v>5</v>
      </c>
      <c r="C6" s="9">
        <v>3</v>
      </c>
      <c r="D6" s="10">
        <f t="shared" si="0"/>
        <v>0.3</v>
      </c>
      <c r="E6" s="9">
        <v>6</v>
      </c>
      <c r="F6" s="9">
        <v>4</v>
      </c>
      <c r="G6" s="10">
        <f t="shared" si="1"/>
        <v>0.26666666666666666</v>
      </c>
      <c r="H6" s="10">
        <f t="shared" si="2"/>
        <v>-3.3333333333333326E-2</v>
      </c>
    </row>
    <row r="7" spans="1:8" x14ac:dyDescent="0.2">
      <c r="A7" s="12" t="s">
        <v>48</v>
      </c>
      <c r="B7" s="9">
        <v>7</v>
      </c>
      <c r="C7" s="9">
        <v>5</v>
      </c>
      <c r="D7" s="10">
        <f t="shared" si="0"/>
        <v>0.23809523809523808</v>
      </c>
      <c r="E7" s="9">
        <v>10</v>
      </c>
      <c r="F7" s="9">
        <v>7</v>
      </c>
      <c r="G7" s="10">
        <f t="shared" si="1"/>
        <v>0.15555555555555556</v>
      </c>
      <c r="H7" s="10">
        <f t="shared" si="2"/>
        <v>-8.2539682539682524E-2</v>
      </c>
    </row>
    <row r="8" spans="1:8" x14ac:dyDescent="0.2">
      <c r="A8" s="12" t="s">
        <v>46</v>
      </c>
      <c r="B8" s="9">
        <v>3</v>
      </c>
      <c r="C8" s="9">
        <v>2</v>
      </c>
      <c r="D8" s="10">
        <f t="shared" si="0"/>
        <v>0.66666666666666663</v>
      </c>
      <c r="E8" s="9">
        <v>6</v>
      </c>
      <c r="F8" s="9">
        <v>4</v>
      </c>
      <c r="G8" s="10">
        <f t="shared" si="1"/>
        <v>0.26666666666666666</v>
      </c>
      <c r="H8" s="10">
        <f t="shared" si="2"/>
        <v>-0.39999999999999997</v>
      </c>
    </row>
    <row r="9" spans="1:8" x14ac:dyDescent="0.2">
      <c r="A9" s="12" t="s">
        <v>51</v>
      </c>
      <c r="B9" s="9">
        <v>4</v>
      </c>
      <c r="C9" s="9">
        <v>3</v>
      </c>
      <c r="D9" s="10">
        <f t="shared" si="0"/>
        <v>0.5</v>
      </c>
      <c r="E9" s="9">
        <v>4</v>
      </c>
      <c r="F9" s="9">
        <v>3</v>
      </c>
      <c r="G9" s="10">
        <f t="shared" si="1"/>
        <v>0.5</v>
      </c>
      <c r="H9" s="10">
        <f t="shared" si="2"/>
        <v>0</v>
      </c>
    </row>
    <row r="10" spans="1:8" x14ac:dyDescent="0.2">
      <c r="A10" s="12" t="s">
        <v>47</v>
      </c>
      <c r="B10" s="9">
        <v>5</v>
      </c>
      <c r="C10" s="9">
        <v>4</v>
      </c>
      <c r="D10" s="10">
        <f t="shared" si="0"/>
        <v>0.4</v>
      </c>
      <c r="E10" s="9">
        <v>8</v>
      </c>
      <c r="F10" s="9">
        <v>7</v>
      </c>
      <c r="G10" s="10">
        <f t="shared" si="1"/>
        <v>0.25</v>
      </c>
      <c r="H10" s="10">
        <f t="shared" si="2"/>
        <v>-0.15000000000000002</v>
      </c>
    </row>
    <row r="11" spans="1:8" x14ac:dyDescent="0.2">
      <c r="A11" s="12" t="s">
        <v>45</v>
      </c>
      <c r="B11" s="9">
        <v>10</v>
      </c>
      <c r="C11" s="9">
        <v>13</v>
      </c>
      <c r="D11" s="10">
        <f t="shared" si="0"/>
        <v>0.28888888888888886</v>
      </c>
      <c r="E11" s="9">
        <v>8</v>
      </c>
      <c r="F11" s="9">
        <v>12</v>
      </c>
      <c r="G11" s="10">
        <f t="shared" si="1"/>
        <v>0.42857142857142855</v>
      </c>
      <c r="H11" s="10">
        <f t="shared" si="2"/>
        <v>0.13968253968253969</v>
      </c>
    </row>
    <row r="12" spans="1:8" x14ac:dyDescent="0.2">
      <c r="A12" s="16" t="s">
        <v>43</v>
      </c>
      <c r="B12" s="17">
        <v>19</v>
      </c>
      <c r="C12" s="17">
        <v>43</v>
      </c>
      <c r="D12" s="18">
        <f t="shared" si="0"/>
        <v>0.25146198830409355</v>
      </c>
      <c r="E12" s="17">
        <v>23</v>
      </c>
      <c r="F12" s="17">
        <v>48</v>
      </c>
      <c r="G12" s="18">
        <f t="shared" si="1"/>
        <v>0.18972332015810275</v>
      </c>
      <c r="H12" s="18">
        <f t="shared" si="2"/>
        <v>-6.1738668145990799E-2</v>
      </c>
    </row>
    <row r="13" spans="1:8" x14ac:dyDescent="0.2">
      <c r="A13" s="11" t="s">
        <v>104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2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V1"/>
    </sheetView>
  </sheetViews>
  <sheetFormatPr baseColWidth="10" defaultColWidth="8.6640625" defaultRowHeight="15" x14ac:dyDescent="0.2"/>
  <cols>
    <col min="1" max="1" width="22" customWidth="1"/>
    <col min="2" max="22" width="10" customWidth="1"/>
  </cols>
  <sheetData>
    <row r="1" spans="1:22" ht="24" customHeight="1" x14ac:dyDescent="0.2">
      <c r="A1" s="3" t="s">
        <v>122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">
      <c r="A2" s="7"/>
      <c r="B2" s="1" t="s">
        <v>69</v>
      </c>
      <c r="C2" s="1"/>
      <c r="D2" s="1"/>
      <c r="E2" s="1"/>
      <c r="F2" s="1"/>
      <c r="G2" s="1"/>
      <c r="H2" s="1"/>
      <c r="I2" s="1"/>
      <c r="J2" s="1"/>
      <c r="K2" s="1"/>
      <c r="L2" s="1" t="s">
        <v>70</v>
      </c>
      <c r="M2" s="1"/>
      <c r="N2" s="1"/>
      <c r="O2" s="1"/>
      <c r="P2" s="1"/>
      <c r="Q2" s="1"/>
      <c r="R2" s="1"/>
      <c r="S2" s="1"/>
      <c r="T2" s="1"/>
      <c r="U2" s="1"/>
      <c r="V2" s="7"/>
    </row>
    <row r="3" spans="1:22" x14ac:dyDescent="0.2">
      <c r="A3" s="7" t="s">
        <v>71</v>
      </c>
      <c r="B3" s="7" t="s">
        <v>72</v>
      </c>
      <c r="C3" s="7" t="s">
        <v>50</v>
      </c>
      <c r="D3" s="7" t="s">
        <v>52</v>
      </c>
      <c r="E3" s="7" t="s">
        <v>49</v>
      </c>
      <c r="F3" s="7" t="s">
        <v>53</v>
      </c>
      <c r="G3" s="7" t="s">
        <v>48</v>
      </c>
      <c r="H3" s="7" t="s">
        <v>46</v>
      </c>
      <c r="I3" s="7" t="s">
        <v>51</v>
      </c>
      <c r="J3" s="7" t="s">
        <v>47</v>
      </c>
      <c r="K3" s="7" t="s">
        <v>45</v>
      </c>
      <c r="L3" s="7" t="s">
        <v>72</v>
      </c>
      <c r="M3" s="7" t="s">
        <v>50</v>
      </c>
      <c r="N3" s="7" t="s">
        <v>52</v>
      </c>
      <c r="O3" s="7" t="s">
        <v>49</v>
      </c>
      <c r="P3" s="7" t="s">
        <v>53</v>
      </c>
      <c r="Q3" s="7" t="s">
        <v>48</v>
      </c>
      <c r="R3" s="7" t="s">
        <v>46</v>
      </c>
      <c r="S3" s="7" t="s">
        <v>51</v>
      </c>
      <c r="T3" s="7" t="s">
        <v>47</v>
      </c>
      <c r="U3" s="7" t="s">
        <v>45</v>
      </c>
      <c r="V3" s="7" t="s">
        <v>76</v>
      </c>
    </row>
    <row r="4" spans="1:22" x14ac:dyDescent="0.2">
      <c r="A4" s="12" t="s">
        <v>55</v>
      </c>
      <c r="B4" s="9"/>
      <c r="C4" s="9">
        <v>4</v>
      </c>
      <c r="D4" s="9" t="s">
        <v>77</v>
      </c>
      <c r="E4" s="9" t="s">
        <v>77</v>
      </c>
      <c r="F4" s="9">
        <v>1</v>
      </c>
      <c r="G4" s="9">
        <v>2</v>
      </c>
      <c r="H4" s="9" t="s">
        <v>77</v>
      </c>
      <c r="I4" s="9" t="s">
        <v>77</v>
      </c>
      <c r="J4" s="9">
        <v>1</v>
      </c>
      <c r="K4" s="9" t="s">
        <v>77</v>
      </c>
      <c r="L4" s="9"/>
      <c r="M4" s="9">
        <v>6</v>
      </c>
      <c r="N4" s="9">
        <v>1</v>
      </c>
      <c r="O4" s="9" t="s">
        <v>77</v>
      </c>
      <c r="P4" s="9">
        <v>2</v>
      </c>
      <c r="Q4" s="9">
        <v>2</v>
      </c>
      <c r="R4" s="9">
        <v>1</v>
      </c>
      <c r="S4" s="9" t="s">
        <v>77</v>
      </c>
      <c r="T4" s="9">
        <v>1</v>
      </c>
      <c r="U4" s="9" t="s">
        <v>77</v>
      </c>
      <c r="V4" s="9"/>
    </row>
    <row r="5" spans="1:22" x14ac:dyDescent="0.2">
      <c r="A5" s="13" t="s">
        <v>57</v>
      </c>
      <c r="B5" s="15"/>
      <c r="C5" s="15">
        <v>2</v>
      </c>
      <c r="D5" s="15" t="s">
        <v>77</v>
      </c>
      <c r="E5" s="15" t="s">
        <v>77</v>
      </c>
      <c r="F5" s="15" t="s">
        <v>77</v>
      </c>
      <c r="G5" s="15">
        <v>2</v>
      </c>
      <c r="H5" s="15" t="s">
        <v>77</v>
      </c>
      <c r="I5" s="15">
        <v>3</v>
      </c>
      <c r="J5" s="15">
        <v>2</v>
      </c>
      <c r="K5" s="15" t="s">
        <v>77</v>
      </c>
      <c r="L5" s="15"/>
      <c r="M5" s="15">
        <v>1</v>
      </c>
      <c r="N5" s="15" t="s">
        <v>77</v>
      </c>
      <c r="O5" s="15" t="s">
        <v>77</v>
      </c>
      <c r="P5" s="15" t="s">
        <v>77</v>
      </c>
      <c r="Q5" s="15">
        <v>2</v>
      </c>
      <c r="R5" s="15" t="s">
        <v>77</v>
      </c>
      <c r="S5" s="15">
        <v>3</v>
      </c>
      <c r="T5" s="15">
        <v>2</v>
      </c>
      <c r="U5" s="15" t="s">
        <v>77</v>
      </c>
      <c r="V5" s="15"/>
    </row>
    <row r="6" spans="1:22" x14ac:dyDescent="0.2">
      <c r="A6" s="12" t="s">
        <v>63</v>
      </c>
      <c r="B6" s="9"/>
      <c r="C6" s="9" t="s">
        <v>77</v>
      </c>
      <c r="D6" s="9">
        <v>1</v>
      </c>
      <c r="E6" s="9" t="s">
        <v>77</v>
      </c>
      <c r="F6" s="9" t="s">
        <v>77</v>
      </c>
      <c r="G6" s="9" t="s">
        <v>77</v>
      </c>
      <c r="H6" s="9">
        <v>2</v>
      </c>
      <c r="I6" s="9" t="s">
        <v>77</v>
      </c>
      <c r="J6" s="9" t="s">
        <v>77</v>
      </c>
      <c r="K6" s="9" t="s">
        <v>77</v>
      </c>
      <c r="L6" s="9"/>
      <c r="M6" s="9" t="s">
        <v>77</v>
      </c>
      <c r="N6" s="9" t="s">
        <v>77</v>
      </c>
      <c r="O6" s="9">
        <v>1</v>
      </c>
      <c r="P6" s="9" t="s">
        <v>77</v>
      </c>
      <c r="Q6" s="9" t="s">
        <v>77</v>
      </c>
      <c r="R6" s="9">
        <v>3</v>
      </c>
      <c r="S6" s="9" t="s">
        <v>77</v>
      </c>
      <c r="T6" s="9" t="s">
        <v>77</v>
      </c>
      <c r="U6" s="9" t="s">
        <v>77</v>
      </c>
      <c r="V6" s="9"/>
    </row>
    <row r="7" spans="1:22" x14ac:dyDescent="0.2">
      <c r="A7" s="13" t="s">
        <v>56</v>
      </c>
      <c r="B7" s="15"/>
      <c r="C7" s="15">
        <v>1</v>
      </c>
      <c r="D7" s="15" t="s">
        <v>77</v>
      </c>
      <c r="E7" s="15" t="s">
        <v>77</v>
      </c>
      <c r="F7" s="15" t="s">
        <v>77</v>
      </c>
      <c r="G7" s="15" t="s">
        <v>77</v>
      </c>
      <c r="H7" s="15">
        <v>1</v>
      </c>
      <c r="I7" s="15">
        <v>1</v>
      </c>
      <c r="J7" s="15">
        <v>1</v>
      </c>
      <c r="K7" s="15">
        <v>4</v>
      </c>
      <c r="L7" s="15"/>
      <c r="M7" s="15">
        <v>1</v>
      </c>
      <c r="N7" s="15" t="s">
        <v>77</v>
      </c>
      <c r="O7" s="15" t="s">
        <v>77</v>
      </c>
      <c r="P7" s="15" t="s">
        <v>77</v>
      </c>
      <c r="Q7" s="15" t="s">
        <v>77</v>
      </c>
      <c r="R7" s="15" t="s">
        <v>77</v>
      </c>
      <c r="S7" s="15">
        <v>1</v>
      </c>
      <c r="T7" s="15">
        <v>2</v>
      </c>
      <c r="U7" s="15">
        <v>4</v>
      </c>
      <c r="V7" s="15"/>
    </row>
    <row r="8" spans="1:22" x14ac:dyDescent="0.2">
      <c r="A8" s="12" t="s">
        <v>78</v>
      </c>
      <c r="B8" s="9"/>
      <c r="C8" s="9" t="s">
        <v>77</v>
      </c>
      <c r="D8" s="9">
        <v>1</v>
      </c>
      <c r="E8" s="9" t="s">
        <v>77</v>
      </c>
      <c r="F8" s="9" t="s">
        <v>77</v>
      </c>
      <c r="G8" s="9" t="s">
        <v>77</v>
      </c>
      <c r="H8" s="9" t="s">
        <v>77</v>
      </c>
      <c r="I8" s="9" t="s">
        <v>77</v>
      </c>
      <c r="J8" s="9" t="s">
        <v>77</v>
      </c>
      <c r="K8" s="9">
        <v>1</v>
      </c>
      <c r="L8" s="9"/>
      <c r="M8" s="9" t="s">
        <v>77</v>
      </c>
      <c r="N8" s="9" t="s">
        <v>77</v>
      </c>
      <c r="O8" s="9">
        <v>1</v>
      </c>
      <c r="P8" s="9" t="s">
        <v>77</v>
      </c>
      <c r="Q8" s="9" t="s">
        <v>77</v>
      </c>
      <c r="R8" s="9" t="s">
        <v>77</v>
      </c>
      <c r="S8" s="9" t="s">
        <v>77</v>
      </c>
      <c r="T8" s="9" t="s">
        <v>77</v>
      </c>
      <c r="U8" s="9">
        <v>2</v>
      </c>
      <c r="V8" s="9"/>
    </row>
    <row r="9" spans="1:22" x14ac:dyDescent="0.2">
      <c r="A9" s="13" t="s">
        <v>58</v>
      </c>
      <c r="B9" s="15"/>
      <c r="C9" s="15">
        <v>1</v>
      </c>
      <c r="D9" s="15" t="s">
        <v>77</v>
      </c>
      <c r="E9" s="15" t="s">
        <v>77</v>
      </c>
      <c r="F9" s="15" t="s">
        <v>77</v>
      </c>
      <c r="G9" s="15" t="s">
        <v>77</v>
      </c>
      <c r="H9" s="15" t="s">
        <v>77</v>
      </c>
      <c r="I9" s="15">
        <v>1</v>
      </c>
      <c r="J9" s="15" t="s">
        <v>77</v>
      </c>
      <c r="K9" s="15">
        <v>4</v>
      </c>
      <c r="L9" s="15"/>
      <c r="M9" s="15" t="s">
        <v>77</v>
      </c>
      <c r="N9" s="15" t="s">
        <v>77</v>
      </c>
      <c r="O9" s="15" t="s">
        <v>77</v>
      </c>
      <c r="P9" s="15" t="s">
        <v>77</v>
      </c>
      <c r="Q9" s="15">
        <v>1</v>
      </c>
      <c r="R9" s="15">
        <v>1</v>
      </c>
      <c r="S9" s="15" t="s">
        <v>77</v>
      </c>
      <c r="T9" s="15">
        <v>2</v>
      </c>
      <c r="U9" s="15">
        <v>4</v>
      </c>
      <c r="V9" s="15"/>
    </row>
    <row r="10" spans="1:22" x14ac:dyDescent="0.2">
      <c r="A10" s="12" t="s">
        <v>61</v>
      </c>
      <c r="B10" s="9"/>
      <c r="C10" s="9">
        <v>1</v>
      </c>
      <c r="D10" s="9" t="s">
        <v>77</v>
      </c>
      <c r="E10" s="9" t="s">
        <v>77</v>
      </c>
      <c r="F10" s="9" t="s">
        <v>77</v>
      </c>
      <c r="G10" s="9">
        <v>1</v>
      </c>
      <c r="H10" s="9" t="s">
        <v>77</v>
      </c>
      <c r="I10" s="9">
        <v>1</v>
      </c>
      <c r="J10" s="9" t="s">
        <v>77</v>
      </c>
      <c r="K10" s="9">
        <v>4</v>
      </c>
      <c r="L10" s="9"/>
      <c r="M10" s="9">
        <v>1</v>
      </c>
      <c r="N10" s="9" t="s">
        <v>77</v>
      </c>
      <c r="O10" s="9" t="s">
        <v>77</v>
      </c>
      <c r="P10" s="9" t="s">
        <v>77</v>
      </c>
      <c r="Q10" s="9">
        <v>1</v>
      </c>
      <c r="R10" s="9" t="s">
        <v>77</v>
      </c>
      <c r="S10" s="9">
        <v>1</v>
      </c>
      <c r="T10" s="9" t="s">
        <v>77</v>
      </c>
      <c r="U10" s="9">
        <v>4</v>
      </c>
      <c r="V10" s="9"/>
    </row>
    <row r="11" spans="1:22" x14ac:dyDescent="0.2">
      <c r="A11" s="13" t="s">
        <v>79</v>
      </c>
      <c r="B11" s="15"/>
      <c r="C11" s="15" t="s">
        <v>77</v>
      </c>
      <c r="D11" s="15">
        <v>2</v>
      </c>
      <c r="E11" s="15" t="s">
        <v>77</v>
      </c>
      <c r="F11" s="15" t="s">
        <v>77</v>
      </c>
      <c r="G11" s="15" t="s">
        <v>77</v>
      </c>
      <c r="H11" s="15" t="s">
        <v>77</v>
      </c>
      <c r="I11" s="15" t="s">
        <v>77</v>
      </c>
      <c r="J11" s="15" t="s">
        <v>77</v>
      </c>
      <c r="K11" s="15" t="s">
        <v>77</v>
      </c>
      <c r="L11" s="15"/>
      <c r="M11" s="15" t="s">
        <v>77</v>
      </c>
      <c r="N11" s="15">
        <v>1</v>
      </c>
      <c r="O11" s="15" t="s">
        <v>77</v>
      </c>
      <c r="P11" s="15" t="s">
        <v>77</v>
      </c>
      <c r="Q11" s="15">
        <v>1</v>
      </c>
      <c r="R11" s="15" t="s">
        <v>77</v>
      </c>
      <c r="S11" s="15" t="s">
        <v>77</v>
      </c>
      <c r="T11" s="15" t="s">
        <v>77</v>
      </c>
      <c r="U11" s="15" t="s">
        <v>77</v>
      </c>
      <c r="V11" s="15"/>
    </row>
    <row r="12" spans="1:22" x14ac:dyDescent="0.2">
      <c r="A12" s="12" t="s">
        <v>62</v>
      </c>
      <c r="B12" s="9"/>
      <c r="C12" s="9">
        <v>1</v>
      </c>
      <c r="D12" s="9" t="s">
        <v>77</v>
      </c>
      <c r="E12" s="9" t="s">
        <v>77</v>
      </c>
      <c r="F12" s="9" t="s">
        <v>77</v>
      </c>
      <c r="G12" s="9" t="s">
        <v>77</v>
      </c>
      <c r="H12" s="9" t="s">
        <v>77</v>
      </c>
      <c r="I12" s="9" t="s">
        <v>77</v>
      </c>
      <c r="J12" s="9" t="s">
        <v>77</v>
      </c>
      <c r="K12" s="9">
        <v>4</v>
      </c>
      <c r="L12" s="9"/>
      <c r="M12" s="9">
        <v>1</v>
      </c>
      <c r="N12" s="9" t="s">
        <v>77</v>
      </c>
      <c r="O12" s="9" t="s">
        <v>77</v>
      </c>
      <c r="P12" s="9" t="s">
        <v>77</v>
      </c>
      <c r="Q12" s="9" t="s">
        <v>77</v>
      </c>
      <c r="R12" s="9" t="s">
        <v>77</v>
      </c>
      <c r="S12" s="9">
        <v>1</v>
      </c>
      <c r="T12" s="9" t="s">
        <v>77</v>
      </c>
      <c r="U12" s="9">
        <v>4</v>
      </c>
      <c r="V12" s="9"/>
    </row>
    <row r="13" spans="1:22" x14ac:dyDescent="0.2">
      <c r="A13" s="13" t="s">
        <v>59</v>
      </c>
      <c r="B13" s="15"/>
      <c r="C13" s="15">
        <v>4</v>
      </c>
      <c r="D13" s="15" t="s">
        <v>77</v>
      </c>
      <c r="E13" s="15" t="s">
        <v>77</v>
      </c>
      <c r="F13" s="15">
        <v>1</v>
      </c>
      <c r="G13" s="15">
        <v>1</v>
      </c>
      <c r="H13" s="15" t="s">
        <v>77</v>
      </c>
      <c r="I13" s="15" t="s">
        <v>77</v>
      </c>
      <c r="J13" s="15" t="s">
        <v>77</v>
      </c>
      <c r="K13" s="15" t="s">
        <v>77</v>
      </c>
      <c r="L13" s="15"/>
      <c r="M13" s="15">
        <v>4</v>
      </c>
      <c r="N13" s="15" t="s">
        <v>77</v>
      </c>
      <c r="O13" s="15" t="s">
        <v>77</v>
      </c>
      <c r="P13" s="15">
        <v>1</v>
      </c>
      <c r="Q13" s="15">
        <v>1</v>
      </c>
      <c r="R13" s="15" t="s">
        <v>77</v>
      </c>
      <c r="S13" s="15" t="s">
        <v>77</v>
      </c>
      <c r="T13" s="15" t="s">
        <v>77</v>
      </c>
      <c r="U13" s="15">
        <v>1</v>
      </c>
      <c r="V13" s="15"/>
    </row>
    <row r="14" spans="1:22" x14ac:dyDescent="0.2">
      <c r="A14" s="12" t="s">
        <v>60</v>
      </c>
      <c r="B14" s="9"/>
      <c r="C14" s="9">
        <v>3</v>
      </c>
      <c r="D14" s="9">
        <v>1</v>
      </c>
      <c r="E14" s="9" t="s">
        <v>77</v>
      </c>
      <c r="F14" s="9" t="s">
        <v>77</v>
      </c>
      <c r="G14" s="9">
        <v>2</v>
      </c>
      <c r="H14" s="9">
        <v>1</v>
      </c>
      <c r="I14" s="9" t="s">
        <v>77</v>
      </c>
      <c r="J14" s="9" t="s">
        <v>77</v>
      </c>
      <c r="K14" s="9">
        <v>2</v>
      </c>
      <c r="L14" s="9"/>
      <c r="M14" s="9">
        <v>2</v>
      </c>
      <c r="N14" s="9" t="s">
        <v>77</v>
      </c>
      <c r="O14" s="9" t="s">
        <v>77</v>
      </c>
      <c r="P14" s="9" t="s">
        <v>77</v>
      </c>
      <c r="Q14" s="9">
        <v>3</v>
      </c>
      <c r="R14" s="9">
        <v>1</v>
      </c>
      <c r="S14" s="9" t="s">
        <v>77</v>
      </c>
      <c r="T14" s="9" t="s">
        <v>77</v>
      </c>
      <c r="U14" s="9" t="s">
        <v>77</v>
      </c>
      <c r="V14" s="9"/>
    </row>
    <row r="15" spans="1:22" x14ac:dyDescent="0.2">
      <c r="A15" s="13" t="s">
        <v>65</v>
      </c>
      <c r="B15" s="15"/>
      <c r="C15" s="15">
        <v>1</v>
      </c>
      <c r="D15" s="15" t="s">
        <v>77</v>
      </c>
      <c r="E15" s="15" t="s">
        <v>77</v>
      </c>
      <c r="F15" s="15">
        <v>1</v>
      </c>
      <c r="G15" s="15" t="s">
        <v>77</v>
      </c>
      <c r="H15" s="15" t="s">
        <v>77</v>
      </c>
      <c r="I15" s="15" t="s">
        <v>77</v>
      </c>
      <c r="J15" s="15" t="s">
        <v>77</v>
      </c>
      <c r="K15" s="15">
        <v>1</v>
      </c>
      <c r="L15" s="15"/>
      <c r="M15" s="15">
        <v>1</v>
      </c>
      <c r="N15" s="15" t="s">
        <v>77</v>
      </c>
      <c r="O15" s="15" t="s">
        <v>77</v>
      </c>
      <c r="P15" s="15">
        <v>1</v>
      </c>
      <c r="Q15" s="15" t="s">
        <v>77</v>
      </c>
      <c r="R15" s="15">
        <v>1</v>
      </c>
      <c r="S15" s="15" t="s">
        <v>77</v>
      </c>
      <c r="T15" s="15" t="s">
        <v>77</v>
      </c>
      <c r="U15" s="15">
        <v>1</v>
      </c>
      <c r="V15" s="15"/>
    </row>
    <row r="16" spans="1:22" x14ac:dyDescent="0.2">
      <c r="A16" s="12" t="s">
        <v>64</v>
      </c>
      <c r="B16" s="9"/>
      <c r="C16" s="9" t="s">
        <v>77</v>
      </c>
      <c r="D16" s="9" t="s">
        <v>77</v>
      </c>
      <c r="E16" s="9" t="s">
        <v>77</v>
      </c>
      <c r="F16" s="9" t="s">
        <v>77</v>
      </c>
      <c r="G16" s="9" t="s">
        <v>77</v>
      </c>
      <c r="H16" s="9" t="s">
        <v>77</v>
      </c>
      <c r="I16" s="9" t="s">
        <v>77</v>
      </c>
      <c r="J16" s="9" t="s">
        <v>77</v>
      </c>
      <c r="K16" s="9">
        <v>4</v>
      </c>
      <c r="L16" s="9"/>
      <c r="M16" s="9" t="s">
        <v>77</v>
      </c>
      <c r="N16" s="9" t="s">
        <v>77</v>
      </c>
      <c r="O16" s="9" t="s">
        <v>77</v>
      </c>
      <c r="P16" s="9" t="s">
        <v>77</v>
      </c>
      <c r="Q16" s="9" t="s">
        <v>77</v>
      </c>
      <c r="R16" s="9" t="s">
        <v>77</v>
      </c>
      <c r="S16" s="9" t="s">
        <v>77</v>
      </c>
      <c r="T16" s="9" t="s">
        <v>77</v>
      </c>
      <c r="U16" s="9">
        <v>4</v>
      </c>
      <c r="V16" s="9"/>
    </row>
    <row r="17" spans="1:22" x14ac:dyDescent="0.2">
      <c r="A17" s="13" t="s">
        <v>80</v>
      </c>
      <c r="B17" s="15"/>
      <c r="C17" s="15">
        <v>1</v>
      </c>
      <c r="D17" s="15">
        <v>1</v>
      </c>
      <c r="E17" s="15" t="s">
        <v>77</v>
      </c>
      <c r="F17" s="15" t="s">
        <v>77</v>
      </c>
      <c r="G17" s="15">
        <v>1</v>
      </c>
      <c r="H17" s="15" t="s">
        <v>77</v>
      </c>
      <c r="I17" s="15" t="s">
        <v>77</v>
      </c>
      <c r="J17" s="15" t="s">
        <v>77</v>
      </c>
      <c r="K17" s="15">
        <v>1</v>
      </c>
      <c r="L17" s="15"/>
      <c r="M17" s="15">
        <v>1</v>
      </c>
      <c r="N17" s="15" t="s">
        <v>77</v>
      </c>
      <c r="O17" s="15" t="s">
        <v>77</v>
      </c>
      <c r="P17" s="15" t="s">
        <v>77</v>
      </c>
      <c r="Q17" s="15">
        <v>1</v>
      </c>
      <c r="R17" s="15">
        <v>1</v>
      </c>
      <c r="S17" s="15" t="s">
        <v>77</v>
      </c>
      <c r="T17" s="15" t="s">
        <v>77</v>
      </c>
      <c r="U17" s="15" t="s">
        <v>77</v>
      </c>
      <c r="V17" s="15"/>
    </row>
    <row r="18" spans="1:22" x14ac:dyDescent="0.2">
      <c r="A18" s="12" t="s">
        <v>81</v>
      </c>
      <c r="B18" s="9"/>
      <c r="C18" s="9" t="s">
        <v>77</v>
      </c>
      <c r="D18" s="9" t="s">
        <v>77</v>
      </c>
      <c r="E18" s="9" t="s">
        <v>77</v>
      </c>
      <c r="F18" s="9">
        <v>2</v>
      </c>
      <c r="G18" s="9" t="s">
        <v>77</v>
      </c>
      <c r="H18" s="9" t="s">
        <v>77</v>
      </c>
      <c r="I18" s="9" t="s">
        <v>77</v>
      </c>
      <c r="J18" s="9" t="s">
        <v>77</v>
      </c>
      <c r="K18" s="9" t="s">
        <v>77</v>
      </c>
      <c r="L18" s="9"/>
      <c r="M18" s="9" t="s">
        <v>77</v>
      </c>
      <c r="N18" s="9" t="s">
        <v>77</v>
      </c>
      <c r="O18" s="9" t="s">
        <v>77</v>
      </c>
      <c r="P18" s="9">
        <v>2</v>
      </c>
      <c r="Q18" s="9" t="s">
        <v>77</v>
      </c>
      <c r="R18" s="9" t="s">
        <v>77</v>
      </c>
      <c r="S18" s="9" t="s">
        <v>77</v>
      </c>
      <c r="T18" s="9" t="s">
        <v>77</v>
      </c>
      <c r="U18" s="9" t="s">
        <v>77</v>
      </c>
      <c r="V18" s="9"/>
    </row>
    <row r="19" spans="1:22" x14ac:dyDescent="0.2">
      <c r="A19" s="13" t="s">
        <v>66</v>
      </c>
      <c r="B19" s="15"/>
      <c r="C19" s="15">
        <v>1</v>
      </c>
      <c r="D19" s="15" t="s">
        <v>77</v>
      </c>
      <c r="E19" s="15" t="s">
        <v>77</v>
      </c>
      <c r="F19" s="15" t="s">
        <v>77</v>
      </c>
      <c r="G19" s="15" t="s">
        <v>77</v>
      </c>
      <c r="H19" s="15" t="s">
        <v>77</v>
      </c>
      <c r="I19" s="15" t="s">
        <v>77</v>
      </c>
      <c r="J19" s="15">
        <v>2</v>
      </c>
      <c r="K19" s="15" t="s">
        <v>77</v>
      </c>
      <c r="L19" s="15"/>
      <c r="M19" s="15">
        <v>1</v>
      </c>
      <c r="N19" s="15" t="s">
        <v>77</v>
      </c>
      <c r="O19" s="15" t="s">
        <v>77</v>
      </c>
      <c r="P19" s="15" t="s">
        <v>77</v>
      </c>
      <c r="Q19" s="15" t="s">
        <v>77</v>
      </c>
      <c r="R19" s="15" t="s">
        <v>77</v>
      </c>
      <c r="S19" s="15" t="s">
        <v>77</v>
      </c>
      <c r="T19" s="15">
        <v>2</v>
      </c>
      <c r="U19" s="15" t="s">
        <v>77</v>
      </c>
      <c r="V19" s="15"/>
    </row>
    <row r="20" spans="1:22" x14ac:dyDescent="0.2">
      <c r="A20" s="12" t="s">
        <v>82</v>
      </c>
      <c r="B20" s="9"/>
      <c r="C20" s="9" t="s">
        <v>77</v>
      </c>
      <c r="D20" s="9" t="s">
        <v>77</v>
      </c>
      <c r="E20" s="9" t="s">
        <v>77</v>
      </c>
      <c r="F20" s="9" t="s">
        <v>77</v>
      </c>
      <c r="G20" s="9" t="s">
        <v>77</v>
      </c>
      <c r="H20" s="9" t="s">
        <v>77</v>
      </c>
      <c r="I20" s="9" t="s">
        <v>77</v>
      </c>
      <c r="J20" s="9" t="s">
        <v>77</v>
      </c>
      <c r="K20" s="9" t="s">
        <v>77</v>
      </c>
      <c r="L20" s="9"/>
      <c r="M20" s="9" t="s">
        <v>77</v>
      </c>
      <c r="N20" s="9" t="s">
        <v>77</v>
      </c>
      <c r="O20" s="9" t="s">
        <v>77</v>
      </c>
      <c r="P20" s="9" t="s">
        <v>77</v>
      </c>
      <c r="Q20" s="9" t="s">
        <v>77</v>
      </c>
      <c r="R20" s="9" t="s">
        <v>77</v>
      </c>
      <c r="S20" s="9" t="s">
        <v>77</v>
      </c>
      <c r="T20" s="9">
        <v>2</v>
      </c>
      <c r="U20" s="9" t="s">
        <v>77</v>
      </c>
      <c r="V20" s="9"/>
    </row>
    <row r="21" spans="1:22" x14ac:dyDescent="0.2">
      <c r="A21" s="13" t="s">
        <v>83</v>
      </c>
      <c r="B21" s="15"/>
      <c r="C21" s="15" t="s">
        <v>77</v>
      </c>
      <c r="D21" s="15" t="s">
        <v>77</v>
      </c>
      <c r="E21" s="15" t="s">
        <v>77</v>
      </c>
      <c r="F21" s="15" t="s">
        <v>77</v>
      </c>
      <c r="G21" s="15" t="s">
        <v>77</v>
      </c>
      <c r="H21" s="15" t="s">
        <v>77</v>
      </c>
      <c r="I21" s="15" t="s">
        <v>77</v>
      </c>
      <c r="J21" s="15">
        <v>2</v>
      </c>
      <c r="K21" s="15" t="s">
        <v>77</v>
      </c>
      <c r="L21" s="15"/>
      <c r="M21" s="15" t="s">
        <v>77</v>
      </c>
      <c r="N21" s="15" t="s">
        <v>77</v>
      </c>
      <c r="O21" s="15" t="s">
        <v>77</v>
      </c>
      <c r="P21" s="15" t="s">
        <v>77</v>
      </c>
      <c r="Q21" s="15" t="s">
        <v>77</v>
      </c>
      <c r="R21" s="15" t="s">
        <v>77</v>
      </c>
      <c r="S21" s="15" t="s">
        <v>77</v>
      </c>
      <c r="T21" s="15">
        <v>2</v>
      </c>
      <c r="U21" s="15" t="s">
        <v>77</v>
      </c>
      <c r="V21" s="15"/>
    </row>
    <row r="22" spans="1:22" x14ac:dyDescent="0.2">
      <c r="A22" s="12" t="s">
        <v>84</v>
      </c>
      <c r="B22" s="9"/>
      <c r="C22" s="9">
        <v>1</v>
      </c>
      <c r="D22" s="9" t="s">
        <v>77</v>
      </c>
      <c r="E22" s="9" t="s">
        <v>77</v>
      </c>
      <c r="F22" s="9" t="s">
        <v>77</v>
      </c>
      <c r="G22" s="9">
        <v>1</v>
      </c>
      <c r="H22" s="9" t="s">
        <v>77</v>
      </c>
      <c r="I22" s="9" t="s">
        <v>77</v>
      </c>
      <c r="J22" s="9" t="s">
        <v>77</v>
      </c>
      <c r="K22" s="9">
        <v>1</v>
      </c>
      <c r="L22" s="9"/>
      <c r="M22" s="9">
        <v>1</v>
      </c>
      <c r="N22" s="9" t="s">
        <v>77</v>
      </c>
      <c r="O22" s="9" t="s">
        <v>77</v>
      </c>
      <c r="P22" s="9" t="s">
        <v>77</v>
      </c>
      <c r="Q22" s="9">
        <v>1</v>
      </c>
      <c r="R22" s="9" t="s">
        <v>77</v>
      </c>
      <c r="S22" s="9" t="s">
        <v>77</v>
      </c>
      <c r="T22" s="9" t="s">
        <v>77</v>
      </c>
      <c r="U22" s="9" t="s">
        <v>77</v>
      </c>
      <c r="V22" s="9"/>
    </row>
    <row r="23" spans="1:22" x14ac:dyDescent="0.2">
      <c r="A23" s="13" t="s">
        <v>85</v>
      </c>
      <c r="B23" s="15"/>
      <c r="C23" s="15">
        <v>3</v>
      </c>
      <c r="D23" s="15" t="s">
        <v>77</v>
      </c>
      <c r="E23" s="15" t="s">
        <v>77</v>
      </c>
      <c r="F23" s="15">
        <v>1</v>
      </c>
      <c r="G23" s="15" t="s">
        <v>77</v>
      </c>
      <c r="H23" s="15" t="s">
        <v>77</v>
      </c>
      <c r="I23" s="15" t="s">
        <v>77</v>
      </c>
      <c r="J23" s="15" t="s">
        <v>77</v>
      </c>
      <c r="K23" s="15" t="s">
        <v>77</v>
      </c>
      <c r="L23" s="15"/>
      <c r="M23" s="15" t="s">
        <v>77</v>
      </c>
      <c r="N23" s="15" t="s">
        <v>77</v>
      </c>
      <c r="O23" s="15" t="s">
        <v>77</v>
      </c>
      <c r="P23" s="15">
        <v>1</v>
      </c>
      <c r="Q23" s="15" t="s">
        <v>77</v>
      </c>
      <c r="R23" s="15" t="s">
        <v>77</v>
      </c>
      <c r="S23" s="15" t="s">
        <v>77</v>
      </c>
      <c r="T23" s="15" t="s">
        <v>77</v>
      </c>
      <c r="U23" s="15" t="s">
        <v>77</v>
      </c>
      <c r="V23" s="15"/>
    </row>
    <row r="24" spans="1:22" x14ac:dyDescent="0.2">
      <c r="A24" s="12" t="s">
        <v>86</v>
      </c>
      <c r="B24" s="9"/>
      <c r="C24" s="9" t="s">
        <v>77</v>
      </c>
      <c r="D24" s="9" t="s">
        <v>77</v>
      </c>
      <c r="E24" s="9" t="s">
        <v>77</v>
      </c>
      <c r="F24" s="9" t="s">
        <v>77</v>
      </c>
      <c r="G24" s="9" t="s">
        <v>77</v>
      </c>
      <c r="H24" s="9" t="s">
        <v>77</v>
      </c>
      <c r="I24" s="9" t="s">
        <v>77</v>
      </c>
      <c r="J24" s="9" t="s">
        <v>77</v>
      </c>
      <c r="K24" s="9" t="s">
        <v>77</v>
      </c>
      <c r="L24" s="9"/>
      <c r="M24" s="9" t="s">
        <v>77</v>
      </c>
      <c r="N24" s="9" t="s">
        <v>77</v>
      </c>
      <c r="O24" s="9" t="s">
        <v>77</v>
      </c>
      <c r="P24" s="9">
        <v>1</v>
      </c>
      <c r="Q24" s="9" t="s">
        <v>77</v>
      </c>
      <c r="R24" s="9" t="s">
        <v>77</v>
      </c>
      <c r="S24" s="9" t="s">
        <v>77</v>
      </c>
      <c r="T24" s="9" t="s">
        <v>77</v>
      </c>
      <c r="U24" s="9" t="s">
        <v>77</v>
      </c>
      <c r="V24" s="9"/>
    </row>
    <row r="25" spans="1:22" x14ac:dyDescent="0.2">
      <c r="A25" s="13" t="s">
        <v>87</v>
      </c>
      <c r="B25" s="15"/>
      <c r="C25" s="15" t="s">
        <v>77</v>
      </c>
      <c r="D25" s="15" t="s">
        <v>77</v>
      </c>
      <c r="E25" s="15" t="s">
        <v>77</v>
      </c>
      <c r="F25" s="15" t="s">
        <v>77</v>
      </c>
      <c r="G25" s="15" t="s">
        <v>77</v>
      </c>
      <c r="H25" s="15" t="s">
        <v>77</v>
      </c>
      <c r="I25" s="15" t="s">
        <v>77</v>
      </c>
      <c r="J25" s="15" t="s">
        <v>77</v>
      </c>
      <c r="K25" s="15" t="s">
        <v>77</v>
      </c>
      <c r="L25" s="15"/>
      <c r="M25" s="15" t="s">
        <v>77</v>
      </c>
      <c r="N25" s="15" t="s">
        <v>77</v>
      </c>
      <c r="O25" s="15" t="s">
        <v>77</v>
      </c>
      <c r="P25" s="15" t="s">
        <v>77</v>
      </c>
      <c r="Q25" s="15" t="s">
        <v>77</v>
      </c>
      <c r="R25" s="15" t="s">
        <v>77</v>
      </c>
      <c r="S25" s="15" t="s">
        <v>77</v>
      </c>
      <c r="T25" s="15">
        <v>1</v>
      </c>
      <c r="U25" s="15" t="s">
        <v>77</v>
      </c>
      <c r="V25" s="15"/>
    </row>
    <row r="26" spans="1:22" x14ac:dyDescent="0.2">
      <c r="A26" s="12" t="s">
        <v>88</v>
      </c>
      <c r="B26" s="9"/>
      <c r="C26" s="9" t="s">
        <v>77</v>
      </c>
      <c r="D26" s="9" t="s">
        <v>77</v>
      </c>
      <c r="E26" s="9" t="s">
        <v>77</v>
      </c>
      <c r="F26" s="9" t="s">
        <v>77</v>
      </c>
      <c r="G26" s="9" t="s">
        <v>77</v>
      </c>
      <c r="H26" s="9" t="s">
        <v>77</v>
      </c>
      <c r="I26" s="9" t="s">
        <v>77</v>
      </c>
      <c r="J26" s="9" t="s">
        <v>77</v>
      </c>
      <c r="K26" s="9" t="s">
        <v>77</v>
      </c>
      <c r="L26" s="9"/>
      <c r="M26" s="9" t="s">
        <v>77</v>
      </c>
      <c r="N26" s="9" t="s">
        <v>77</v>
      </c>
      <c r="O26" s="9" t="s">
        <v>77</v>
      </c>
      <c r="P26" s="9" t="s">
        <v>77</v>
      </c>
      <c r="Q26" s="9">
        <v>1</v>
      </c>
      <c r="R26" s="9" t="s">
        <v>77</v>
      </c>
      <c r="S26" s="9" t="s">
        <v>77</v>
      </c>
      <c r="T26" s="9" t="s">
        <v>77</v>
      </c>
      <c r="U26" s="9" t="s">
        <v>77</v>
      </c>
      <c r="V26" s="9"/>
    </row>
    <row r="27" spans="1:22" x14ac:dyDescent="0.2">
      <c r="A27" s="11" t="s">
        <v>123</v>
      </c>
    </row>
  </sheetData>
  <mergeCells count="3">
    <mergeCell ref="A1:V1"/>
    <mergeCell ref="B2:K2"/>
    <mergeCell ref="L2:U2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2" customWidth="1"/>
    <col min="2" max="8" width="11" customWidth="1"/>
  </cols>
  <sheetData>
    <row r="1" spans="1:8" ht="24" customHeight="1" x14ac:dyDescent="0.2">
      <c r="A1" s="3" t="s">
        <v>124</v>
      </c>
      <c r="B1" s="3"/>
      <c r="C1" s="3"/>
      <c r="D1" s="3"/>
      <c r="E1" s="3"/>
      <c r="F1" s="3"/>
      <c r="G1" s="3"/>
      <c r="H1" s="3"/>
    </row>
    <row r="2" spans="1:8" x14ac:dyDescent="0.2">
      <c r="A2" s="7"/>
      <c r="B2" s="1" t="s">
        <v>69</v>
      </c>
      <c r="C2" s="1"/>
      <c r="D2" s="1"/>
      <c r="E2" s="1" t="s">
        <v>70</v>
      </c>
      <c r="F2" s="1"/>
      <c r="G2" s="1"/>
      <c r="H2" s="7" t="s">
        <v>31</v>
      </c>
    </row>
    <row r="3" spans="1:8" x14ac:dyDescent="0.2">
      <c r="A3" s="7" t="s">
        <v>71</v>
      </c>
      <c r="B3" s="7" t="s">
        <v>125</v>
      </c>
      <c r="C3" s="7" t="s">
        <v>126</v>
      </c>
      <c r="D3" s="7" t="s">
        <v>127</v>
      </c>
      <c r="E3" s="7" t="s">
        <v>125</v>
      </c>
      <c r="F3" s="7" t="s">
        <v>126</v>
      </c>
      <c r="G3" s="7" t="s">
        <v>127</v>
      </c>
      <c r="H3" s="7" t="s">
        <v>128</v>
      </c>
    </row>
    <row r="4" spans="1:8" x14ac:dyDescent="0.2">
      <c r="A4" s="12" t="s">
        <v>55</v>
      </c>
      <c r="B4" s="10">
        <v>0.12959999999999999</v>
      </c>
      <c r="C4" s="10">
        <v>0.73829999999999996</v>
      </c>
      <c r="D4" s="9">
        <v>8</v>
      </c>
      <c r="E4" s="10">
        <v>0.28499999999999998</v>
      </c>
      <c r="F4" s="10">
        <v>0.81210000000000004</v>
      </c>
      <c r="G4" s="9">
        <v>13</v>
      </c>
      <c r="H4" s="10">
        <f t="shared" ref="H4:H26" si="0">F4-C4</f>
        <v>7.3800000000000088E-2</v>
      </c>
    </row>
    <row r="5" spans="1:8" x14ac:dyDescent="0.2">
      <c r="A5" s="13" t="s">
        <v>57</v>
      </c>
      <c r="B5" s="14">
        <v>0.22220000000000001</v>
      </c>
      <c r="C5" s="14">
        <v>0.83330000000000004</v>
      </c>
      <c r="D5" s="15">
        <v>9</v>
      </c>
      <c r="E5" s="14">
        <v>0.1787</v>
      </c>
      <c r="F5" s="14">
        <v>0.80859999999999999</v>
      </c>
      <c r="G5" s="15">
        <v>8</v>
      </c>
      <c r="H5" s="14">
        <f t="shared" si="0"/>
        <v>-2.4700000000000055E-2</v>
      </c>
    </row>
    <row r="6" spans="1:8" x14ac:dyDescent="0.2">
      <c r="A6" s="12" t="s">
        <v>63</v>
      </c>
      <c r="B6" s="10">
        <v>0.1389</v>
      </c>
      <c r="C6" s="10">
        <v>0.5</v>
      </c>
      <c r="D6" s="9">
        <v>3</v>
      </c>
      <c r="E6" s="10">
        <v>0.17780000000000001</v>
      </c>
      <c r="F6" s="10">
        <v>0.4219</v>
      </c>
      <c r="G6" s="9">
        <v>4</v>
      </c>
      <c r="H6" s="10">
        <f t="shared" si="0"/>
        <v>-7.8100000000000003E-2</v>
      </c>
    </row>
    <row r="7" spans="1:8" x14ac:dyDescent="0.2">
      <c r="A7" s="13" t="s">
        <v>56</v>
      </c>
      <c r="B7" s="14">
        <v>0.17899999999999999</v>
      </c>
      <c r="C7" s="14">
        <v>0.77339999999999998</v>
      </c>
      <c r="D7" s="15">
        <v>8</v>
      </c>
      <c r="E7" s="14">
        <v>0.1434</v>
      </c>
      <c r="F7" s="14">
        <v>0.73829999999999996</v>
      </c>
      <c r="G7" s="15">
        <v>8</v>
      </c>
      <c r="H7" s="14">
        <f t="shared" si="0"/>
        <v>-3.510000000000002E-2</v>
      </c>
    </row>
    <row r="8" spans="1:8" x14ac:dyDescent="0.2">
      <c r="A8" s="12" t="s">
        <v>78</v>
      </c>
      <c r="B8" s="10">
        <v>4.0099999999999997E-2</v>
      </c>
      <c r="C8" s="10">
        <v>0.5625</v>
      </c>
      <c r="D8" s="9">
        <v>2</v>
      </c>
      <c r="E8" s="10">
        <v>0.1429</v>
      </c>
      <c r="F8" s="10">
        <v>0.5</v>
      </c>
      <c r="G8" s="9">
        <v>3</v>
      </c>
      <c r="H8" s="10">
        <f t="shared" si="0"/>
        <v>-6.25E-2</v>
      </c>
    </row>
    <row r="9" spans="1:8" x14ac:dyDescent="0.2">
      <c r="A9" s="13" t="s">
        <v>58</v>
      </c>
      <c r="B9" s="14">
        <v>9.5699999999999993E-2</v>
      </c>
      <c r="C9" s="14">
        <v>0.5625</v>
      </c>
      <c r="D9" s="15">
        <v>6</v>
      </c>
      <c r="E9" s="14">
        <v>0.1298</v>
      </c>
      <c r="F9" s="14">
        <v>0.73829999999999996</v>
      </c>
      <c r="G9" s="15">
        <v>8</v>
      </c>
      <c r="H9" s="14">
        <f t="shared" si="0"/>
        <v>0.17579999999999996</v>
      </c>
    </row>
    <row r="10" spans="1:8" x14ac:dyDescent="0.2">
      <c r="A10" s="12" t="s">
        <v>61</v>
      </c>
      <c r="B10" s="10">
        <v>0.1142</v>
      </c>
      <c r="C10" s="10">
        <v>0.68879999999999997</v>
      </c>
      <c r="D10" s="9">
        <v>7</v>
      </c>
      <c r="E10" s="10">
        <v>0.124</v>
      </c>
      <c r="F10" s="10">
        <v>0.68879999999999997</v>
      </c>
      <c r="G10" s="9">
        <v>7</v>
      </c>
      <c r="H10" s="10">
        <f t="shared" si="0"/>
        <v>0</v>
      </c>
    </row>
    <row r="11" spans="1:8" x14ac:dyDescent="0.2">
      <c r="A11" s="13" t="s">
        <v>79</v>
      </c>
      <c r="B11" s="14">
        <v>5.5599999999999997E-2</v>
      </c>
      <c r="C11" s="14">
        <v>0</v>
      </c>
      <c r="D11" s="15">
        <v>2</v>
      </c>
      <c r="E11" s="14">
        <v>0.1235</v>
      </c>
      <c r="F11" s="14">
        <v>0.5625</v>
      </c>
      <c r="G11" s="15">
        <v>2</v>
      </c>
      <c r="H11" s="14">
        <f t="shared" si="0"/>
        <v>0.5625</v>
      </c>
    </row>
    <row r="12" spans="1:8" x14ac:dyDescent="0.2">
      <c r="A12" s="12" t="s">
        <v>62</v>
      </c>
      <c r="B12" s="10">
        <v>5.8599999999999999E-2</v>
      </c>
      <c r="C12" s="10">
        <v>0.36</v>
      </c>
      <c r="D12" s="9">
        <v>5</v>
      </c>
      <c r="E12" s="10">
        <v>0.1116</v>
      </c>
      <c r="F12" s="10">
        <v>0.5625</v>
      </c>
      <c r="G12" s="9">
        <v>6</v>
      </c>
      <c r="H12" s="10">
        <f t="shared" si="0"/>
        <v>0.20250000000000001</v>
      </c>
    </row>
    <row r="13" spans="1:8" x14ac:dyDescent="0.2">
      <c r="A13" s="13" t="s">
        <v>59</v>
      </c>
      <c r="B13" s="14">
        <v>8.3299999999999999E-2</v>
      </c>
      <c r="C13" s="14">
        <v>0.5625</v>
      </c>
      <c r="D13" s="15">
        <v>6</v>
      </c>
      <c r="E13" s="14">
        <v>9.4899999999999998E-2</v>
      </c>
      <c r="F13" s="14">
        <v>0.68879999999999997</v>
      </c>
      <c r="G13" s="15">
        <v>7</v>
      </c>
      <c r="H13" s="14">
        <f t="shared" si="0"/>
        <v>0.12629999999999997</v>
      </c>
    </row>
    <row r="14" spans="1:8" x14ac:dyDescent="0.2">
      <c r="A14" s="12" t="s">
        <v>60</v>
      </c>
      <c r="B14" s="10">
        <v>0.17280000000000001</v>
      </c>
      <c r="C14" s="10">
        <v>0.86109999999999998</v>
      </c>
      <c r="D14" s="9">
        <v>9</v>
      </c>
      <c r="E14" s="10">
        <v>8.1500000000000003E-2</v>
      </c>
      <c r="F14" s="10">
        <v>0.6875</v>
      </c>
      <c r="G14" s="9">
        <v>6</v>
      </c>
      <c r="H14" s="10">
        <f t="shared" si="0"/>
        <v>-0.17359999999999998</v>
      </c>
    </row>
    <row r="15" spans="1:8" x14ac:dyDescent="0.2">
      <c r="A15" s="13" t="s">
        <v>65</v>
      </c>
      <c r="B15" s="14">
        <v>4.9399999999999999E-2</v>
      </c>
      <c r="C15" s="14">
        <v>0.75</v>
      </c>
      <c r="D15" s="15">
        <v>3</v>
      </c>
      <c r="E15" s="14">
        <v>7.1400000000000005E-2</v>
      </c>
      <c r="F15" s="14">
        <v>0.84379999999999999</v>
      </c>
      <c r="G15" s="15">
        <v>4</v>
      </c>
      <c r="H15" s="14">
        <f t="shared" si="0"/>
        <v>9.3799999999999994E-2</v>
      </c>
    </row>
    <row r="16" spans="1:8" x14ac:dyDescent="0.2">
      <c r="A16" s="12" t="s">
        <v>64</v>
      </c>
      <c r="B16" s="10">
        <v>4.9399999999999999E-2</v>
      </c>
      <c r="C16" s="10">
        <v>0</v>
      </c>
      <c r="D16" s="9">
        <v>4</v>
      </c>
      <c r="E16" s="10">
        <v>6.3500000000000001E-2</v>
      </c>
      <c r="F16" s="10">
        <v>0</v>
      </c>
      <c r="G16" s="9">
        <v>4</v>
      </c>
      <c r="H16" s="10">
        <f t="shared" si="0"/>
        <v>0</v>
      </c>
    </row>
    <row r="17" spans="1:8" x14ac:dyDescent="0.2">
      <c r="A17" s="13" t="s">
        <v>80</v>
      </c>
      <c r="B17" s="14">
        <v>6.7900000000000002E-2</v>
      </c>
      <c r="C17" s="14">
        <v>0.84379999999999999</v>
      </c>
      <c r="D17" s="15">
        <v>4</v>
      </c>
      <c r="E17" s="14">
        <v>4.5699999999999998E-2</v>
      </c>
      <c r="F17" s="14">
        <v>0.75</v>
      </c>
      <c r="G17" s="15">
        <v>3</v>
      </c>
      <c r="H17" s="14">
        <f t="shared" si="0"/>
        <v>-9.3799999999999994E-2</v>
      </c>
    </row>
    <row r="18" spans="1:8" x14ac:dyDescent="0.2">
      <c r="A18" s="12" t="s">
        <v>81</v>
      </c>
      <c r="B18" s="10">
        <v>5.5599999999999997E-2</v>
      </c>
      <c r="C18" s="10">
        <v>0</v>
      </c>
      <c r="D18" s="9">
        <v>2</v>
      </c>
      <c r="E18" s="10">
        <v>4.4400000000000002E-2</v>
      </c>
      <c r="F18" s="10">
        <v>0</v>
      </c>
      <c r="G18" s="9">
        <v>2</v>
      </c>
      <c r="H18" s="10">
        <f t="shared" si="0"/>
        <v>0</v>
      </c>
    </row>
    <row r="19" spans="1:8" x14ac:dyDescent="0.2">
      <c r="A19" s="13" t="s">
        <v>66</v>
      </c>
      <c r="B19" s="14">
        <v>6.4799999999999996E-2</v>
      </c>
      <c r="C19" s="14">
        <v>0.5</v>
      </c>
      <c r="D19" s="15">
        <v>3</v>
      </c>
      <c r="E19" s="14">
        <v>4.2900000000000001E-2</v>
      </c>
      <c r="F19" s="14">
        <v>0.5</v>
      </c>
      <c r="G19" s="15">
        <v>3</v>
      </c>
      <c r="H19" s="14">
        <f t="shared" si="0"/>
        <v>0</v>
      </c>
    </row>
    <row r="20" spans="1:8" x14ac:dyDescent="0.2">
      <c r="A20" s="12" t="s">
        <v>82</v>
      </c>
      <c r="B20" s="10">
        <v>0</v>
      </c>
      <c r="C20" s="10">
        <v>0</v>
      </c>
      <c r="D20" s="9">
        <v>0</v>
      </c>
      <c r="E20" s="10">
        <v>3.1699999999999999E-2</v>
      </c>
      <c r="F20" s="10">
        <v>0</v>
      </c>
      <c r="G20" s="9">
        <v>2</v>
      </c>
      <c r="H20" s="10">
        <f t="shared" si="0"/>
        <v>0</v>
      </c>
    </row>
    <row r="21" spans="1:8" x14ac:dyDescent="0.2">
      <c r="A21" s="13" t="s">
        <v>83</v>
      </c>
      <c r="B21" s="14">
        <v>5.5599999999999997E-2</v>
      </c>
      <c r="C21" s="14">
        <v>0</v>
      </c>
      <c r="D21" s="15">
        <v>2</v>
      </c>
      <c r="E21" s="14">
        <v>3.1699999999999999E-2</v>
      </c>
      <c r="F21" s="14">
        <v>0</v>
      </c>
      <c r="G21" s="15">
        <v>2</v>
      </c>
      <c r="H21" s="14">
        <f t="shared" si="0"/>
        <v>0</v>
      </c>
    </row>
    <row r="22" spans="1:8" x14ac:dyDescent="0.2">
      <c r="A22" s="12" t="s">
        <v>84</v>
      </c>
      <c r="B22" s="10">
        <v>4.0099999999999997E-2</v>
      </c>
      <c r="C22" s="10">
        <v>0.75</v>
      </c>
      <c r="D22" s="9">
        <v>3</v>
      </c>
      <c r="E22" s="10">
        <v>2.35E-2</v>
      </c>
      <c r="F22" s="10">
        <v>0.5625</v>
      </c>
      <c r="G22" s="9">
        <v>2</v>
      </c>
      <c r="H22" s="10">
        <f t="shared" si="0"/>
        <v>-0.1875</v>
      </c>
    </row>
    <row r="23" spans="1:8" x14ac:dyDescent="0.2">
      <c r="A23" s="13" t="s">
        <v>85</v>
      </c>
      <c r="B23" s="14">
        <v>5.5599999999999997E-2</v>
      </c>
      <c r="C23" s="14">
        <v>0.4219</v>
      </c>
      <c r="D23" s="15">
        <v>4</v>
      </c>
      <c r="E23" s="14">
        <v>2.2200000000000001E-2</v>
      </c>
      <c r="F23" s="14">
        <v>0</v>
      </c>
      <c r="G23" s="15">
        <v>1</v>
      </c>
      <c r="H23" s="14">
        <f t="shared" si="0"/>
        <v>-0.4219</v>
      </c>
    </row>
    <row r="24" spans="1:8" x14ac:dyDescent="0.2">
      <c r="A24" s="12" t="s">
        <v>86</v>
      </c>
      <c r="B24" s="10">
        <v>0</v>
      </c>
      <c r="C24" s="10">
        <v>0</v>
      </c>
      <c r="D24" s="9">
        <v>0</v>
      </c>
      <c r="E24" s="10">
        <v>2.2200000000000001E-2</v>
      </c>
      <c r="F24" s="10">
        <v>0</v>
      </c>
      <c r="G24" s="9">
        <v>1</v>
      </c>
      <c r="H24" s="10">
        <f t="shared" si="0"/>
        <v>0</v>
      </c>
    </row>
    <row r="25" spans="1:8" x14ac:dyDescent="0.2">
      <c r="A25" s="13" t="s">
        <v>87</v>
      </c>
      <c r="B25" s="14">
        <v>0</v>
      </c>
      <c r="C25" s="14">
        <v>0</v>
      </c>
      <c r="D25" s="15">
        <v>0</v>
      </c>
      <c r="E25" s="14">
        <v>1.5900000000000001E-2</v>
      </c>
      <c r="F25" s="14">
        <v>0</v>
      </c>
      <c r="G25" s="15">
        <v>1</v>
      </c>
      <c r="H25" s="14">
        <f t="shared" si="0"/>
        <v>0</v>
      </c>
    </row>
    <row r="26" spans="1:8" x14ac:dyDescent="0.2">
      <c r="A26" s="12" t="s">
        <v>88</v>
      </c>
      <c r="B26" s="10">
        <v>0</v>
      </c>
      <c r="C26" s="10">
        <v>0</v>
      </c>
      <c r="D26" s="9">
        <v>0</v>
      </c>
      <c r="E26" s="10">
        <v>1.23E-2</v>
      </c>
      <c r="F26" s="10">
        <v>0</v>
      </c>
      <c r="G26" s="9">
        <v>1</v>
      </c>
      <c r="H26" s="10">
        <f t="shared" si="0"/>
        <v>0</v>
      </c>
    </row>
    <row r="27" spans="1:8" x14ac:dyDescent="0.2">
      <c r="A27" s="11" t="s">
        <v>129</v>
      </c>
    </row>
  </sheetData>
  <mergeCells count="3">
    <mergeCell ref="A1:H1"/>
    <mergeCell ref="B2:D2"/>
    <mergeCell ref="E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Leia-me</vt:lpstr>
      <vt:lpstr>Visão Geral (3 cam)</vt:lpstr>
      <vt:lpstr>Versatilidade (3 cam)</vt:lpstr>
      <vt:lpstr>Centralidade (3 cam)</vt:lpstr>
      <vt:lpstr>Densidade (3 cam)</vt:lpstr>
      <vt:lpstr>Graus Brutos (3 cam)</vt:lpstr>
      <vt:lpstr>Visão Geral (9 cam)</vt:lpstr>
      <vt:lpstr>Versatilidade (9 cam)</vt:lpstr>
      <vt:lpstr>Centralidade (9 cam)</vt:lpstr>
      <vt:lpstr>Densidade (9 cam)</vt:lpstr>
      <vt:lpstr>Graus Brutos (9 cam)</vt:lpstr>
      <vt:lpstr>Participação (9 cam)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Benhur de Assis Correia</cp:lastModifiedBy>
  <cp:revision>0</cp:revision>
  <dcterms:created xsi:type="dcterms:W3CDTF">2026-06-18T17:49:52Z</dcterms:created>
  <dcterms:modified xsi:type="dcterms:W3CDTF">2026-07-15T15:46:03Z</dcterms:modified>
  <dc:language>en-US</dc:language>
</cp:coreProperties>
</file>